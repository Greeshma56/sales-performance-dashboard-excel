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Greeshma\OneDrive\Documents\"/>
    </mc:Choice>
  </mc:AlternateContent>
  <xr:revisionPtr revIDLastSave="0" documentId="8_{6720F5BE-F224-4E89-9530-B6B05D3093B2}" xr6:coauthVersionLast="47" xr6:coauthVersionMax="47" xr10:uidLastSave="{00000000-0000-0000-0000-000000000000}"/>
  <bookViews>
    <workbookView xWindow="-120" yWindow="-120" windowWidth="20730" windowHeight="11040" activeTab="1" xr2:uid="{00000000-000D-0000-FFFF-FFFF00000000}"/>
  </bookViews>
  <sheets>
    <sheet name="Sheet1" sheetId="2" r:id="rId1"/>
    <sheet name="Dashboard" sheetId="3" r:id="rId2"/>
    <sheet name="Sales_Data" sheetId="1" r:id="rId3"/>
  </sheets>
  <definedNames>
    <definedName name="Slicer_Category">#N/A</definedName>
    <definedName name="Slicer_Region">#N/A</definedName>
  </definedNames>
  <calcPr calcId="191029"/>
  <pivotCaches>
    <pivotCache cacheId="2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3" l="1"/>
  <c r="D3" i="3"/>
  <c r="C3" i="3"/>
  <c r="B3" i="3"/>
  <c r="K66" i="1"/>
  <c r="K363" i="1"/>
  <c r="K245" i="1"/>
  <c r="K364" i="1"/>
  <c r="K469" i="1"/>
  <c r="K458" i="1"/>
  <c r="K157" i="1"/>
  <c r="K228" i="1"/>
  <c r="K27" i="1"/>
  <c r="K246" i="1"/>
  <c r="K490" i="1"/>
  <c r="K321" i="1"/>
  <c r="K178" i="1"/>
  <c r="K308" i="1"/>
  <c r="K45" i="1"/>
  <c r="K204" i="1"/>
  <c r="K414" i="1"/>
  <c r="K483" i="1"/>
  <c r="K127" i="1"/>
  <c r="K399" i="1"/>
  <c r="K36" i="1"/>
  <c r="K247" i="1"/>
  <c r="K331" i="1"/>
  <c r="K365" i="1"/>
  <c r="K405" i="1"/>
  <c r="K459" i="1"/>
  <c r="K248" i="1"/>
  <c r="K14" i="1"/>
  <c r="K97" i="1"/>
  <c r="K2" i="1"/>
  <c r="K346" i="1"/>
  <c r="K179" i="1"/>
  <c r="K28" i="1"/>
  <c r="K15" i="1"/>
  <c r="K60" i="1"/>
  <c r="K484" i="1"/>
  <c r="K385" i="1"/>
  <c r="K309" i="1"/>
  <c r="K366" i="1"/>
  <c r="K278" i="1"/>
  <c r="K110" i="1"/>
  <c r="K441" i="1"/>
  <c r="K310" i="1"/>
  <c r="K279" i="1"/>
  <c r="K29" i="1"/>
  <c r="K430" i="1"/>
  <c r="K497" i="1"/>
  <c r="K103" i="1"/>
  <c r="K128" i="1"/>
  <c r="K274" i="1"/>
  <c r="K367" i="1"/>
  <c r="K249" i="1"/>
  <c r="K347" i="1"/>
  <c r="K229" i="1"/>
  <c r="K74" i="1"/>
  <c r="K37" i="1"/>
  <c r="K30" i="1"/>
  <c r="K9" i="1"/>
  <c r="K460" i="1"/>
  <c r="K280" i="1"/>
  <c r="K322" i="1"/>
  <c r="K104" i="1"/>
  <c r="K75" i="1"/>
  <c r="K48" i="1"/>
  <c r="K250" i="1"/>
  <c r="K296" i="1"/>
  <c r="K205" i="1"/>
  <c r="K138" i="1"/>
  <c r="K386" i="1"/>
  <c r="K139" i="1"/>
  <c r="K415" i="1"/>
  <c r="K355" i="1"/>
  <c r="K31" i="1"/>
  <c r="K387" i="1"/>
  <c r="K416" i="1"/>
  <c r="K180" i="1"/>
  <c r="K111" i="1"/>
  <c r="K140" i="1"/>
  <c r="K206" i="1"/>
  <c r="K323" i="1"/>
  <c r="K470" i="1"/>
  <c r="K498" i="1"/>
  <c r="K3" i="1"/>
  <c r="K332" i="1"/>
  <c r="K471" i="1"/>
  <c r="K281" i="1"/>
  <c r="K207" i="1"/>
  <c r="K451" i="1"/>
  <c r="K105" i="1"/>
  <c r="K83" i="1"/>
  <c r="K61" i="1"/>
  <c r="K333" i="1"/>
  <c r="K164" i="1"/>
  <c r="K141" i="1"/>
  <c r="K76" i="1"/>
  <c r="K87" i="1"/>
  <c r="K251" i="1"/>
  <c r="K230" i="1"/>
  <c r="K49" i="1"/>
  <c r="K208" i="1"/>
  <c r="K452" i="1"/>
  <c r="K417" i="1"/>
  <c r="K50" i="1"/>
  <c r="K304" i="1"/>
  <c r="K368" i="1"/>
  <c r="K311" i="1"/>
  <c r="K181" i="1"/>
  <c r="K98" i="1"/>
  <c r="K418" i="1"/>
  <c r="K77" i="1"/>
  <c r="K209" i="1"/>
  <c r="K158" i="1"/>
  <c r="K88" i="1"/>
  <c r="K419" i="1"/>
  <c r="K252" i="1"/>
  <c r="K182" i="1"/>
  <c r="K348" i="1"/>
  <c r="K388" i="1"/>
  <c r="K183" i="1"/>
  <c r="K16" i="1"/>
  <c r="K184" i="1"/>
  <c r="K159" i="1"/>
  <c r="K369" i="1"/>
  <c r="K32" i="1"/>
  <c r="K370" i="1"/>
  <c r="K112" i="1"/>
  <c r="K33" i="1"/>
  <c r="K231" i="1"/>
  <c r="K349" i="1"/>
  <c r="K113" i="1"/>
  <c r="K453" i="1"/>
  <c r="K10" i="1"/>
  <c r="K38" i="1"/>
  <c r="K391" i="1"/>
  <c r="K442" i="1"/>
  <c r="K210" i="1"/>
  <c r="K4" i="1"/>
  <c r="K253" i="1"/>
  <c r="K142" i="1"/>
  <c r="K17" i="1"/>
  <c r="K420" i="1"/>
  <c r="K431" i="1"/>
  <c r="K11" i="1"/>
  <c r="K350" i="1"/>
  <c r="K143" i="1"/>
  <c r="K254" i="1"/>
  <c r="K144" i="1"/>
  <c r="K297" i="1"/>
  <c r="K46" i="1"/>
  <c r="K472" i="1"/>
  <c r="K232" i="1"/>
  <c r="K432" i="1"/>
  <c r="K334" i="1"/>
  <c r="K461" i="1"/>
  <c r="K89" i="1"/>
  <c r="K67" i="1"/>
  <c r="K34" i="1"/>
  <c r="K454" i="1"/>
  <c r="K165" i="1"/>
  <c r="K18" i="1"/>
  <c r="K443" i="1"/>
  <c r="K282" i="1"/>
  <c r="K114" i="1"/>
  <c r="K491" i="1"/>
  <c r="K492" i="1"/>
  <c r="K90" i="1"/>
  <c r="K455" i="1"/>
  <c r="K106" i="1"/>
  <c r="K166" i="1"/>
  <c r="K371" i="1"/>
  <c r="K283" i="1"/>
  <c r="K335" i="1"/>
  <c r="K409" i="1"/>
  <c r="K421" i="1"/>
  <c r="K129" i="1"/>
  <c r="K68" i="1"/>
  <c r="K145" i="1"/>
  <c r="K372" i="1"/>
  <c r="K284" i="1"/>
  <c r="K485" i="1"/>
  <c r="K312" i="1"/>
  <c r="K69" i="1"/>
  <c r="K324" i="1"/>
  <c r="K78" i="1"/>
  <c r="K269" i="1"/>
  <c r="K373" i="1"/>
  <c r="K233" i="1"/>
  <c r="K336" i="1"/>
  <c r="K313" i="1"/>
  <c r="K51" i="1"/>
  <c r="K234" i="1"/>
  <c r="K473" i="1"/>
  <c r="K285" i="1"/>
  <c r="K79" i="1"/>
  <c r="K171" i="1"/>
  <c r="K400" i="1"/>
  <c r="K91" i="1"/>
  <c r="K286" i="1"/>
  <c r="K422" i="1"/>
  <c r="K255" i="1"/>
  <c r="K92" i="1"/>
  <c r="K19" i="1"/>
  <c r="K337" i="1"/>
  <c r="K401" i="1"/>
  <c r="K146" i="1"/>
  <c r="K256" i="1"/>
  <c r="K62" i="1"/>
  <c r="K410" i="1"/>
  <c r="K211" i="1"/>
  <c r="K115" i="1"/>
  <c r="K462" i="1"/>
  <c r="K474" i="1"/>
  <c r="K456" i="1"/>
  <c r="K172" i="1"/>
  <c r="K52" i="1"/>
  <c r="K185" i="1"/>
  <c r="K374" i="1"/>
  <c r="K116" i="1"/>
  <c r="K257" i="1"/>
  <c r="K147" i="1"/>
  <c r="K493" i="1"/>
  <c r="K39" i="1"/>
  <c r="K275" i="1"/>
  <c r="K80" i="1"/>
  <c r="K433" i="1"/>
  <c r="K479" i="1"/>
  <c r="K338" i="1"/>
  <c r="K314" i="1"/>
  <c r="K351" i="1"/>
  <c r="K186" i="1"/>
  <c r="K53" i="1"/>
  <c r="K224" i="1"/>
  <c r="K258" i="1"/>
  <c r="K148" i="1"/>
  <c r="K392" i="1"/>
  <c r="K12" i="1"/>
  <c r="K149" i="1"/>
  <c r="K393" i="1"/>
  <c r="K117" i="1"/>
  <c r="K225" i="1"/>
  <c r="K434" i="1"/>
  <c r="K54" i="1"/>
  <c r="K389" i="1"/>
  <c r="K298" i="1"/>
  <c r="K375" i="1"/>
  <c r="K494" i="1"/>
  <c r="K130" i="1"/>
  <c r="K276" i="1"/>
  <c r="K287" i="1"/>
  <c r="K325" i="1"/>
  <c r="K212" i="1"/>
  <c r="K187" i="1"/>
  <c r="K150" i="1"/>
  <c r="K173" i="1"/>
  <c r="K390" i="1"/>
  <c r="K259" i="1"/>
  <c r="K315" i="1"/>
  <c r="K260" i="1"/>
  <c r="K5" i="1"/>
  <c r="K499" i="1"/>
  <c r="K151" i="1"/>
  <c r="K213" i="1"/>
  <c r="K339" i="1"/>
  <c r="K423" i="1"/>
  <c r="K93" i="1"/>
  <c r="K55" i="1"/>
  <c r="K340" i="1"/>
  <c r="K299" i="1"/>
  <c r="K356" i="1"/>
  <c r="K261" i="1"/>
  <c r="K300" i="1"/>
  <c r="K20" i="1"/>
  <c r="K131" i="1"/>
  <c r="K486" i="1"/>
  <c r="K341" i="1"/>
  <c r="K152" i="1"/>
  <c r="K214" i="1"/>
  <c r="K262" i="1"/>
  <c r="K56" i="1"/>
  <c r="K270" i="1"/>
  <c r="K188" i="1"/>
  <c r="K288" i="1"/>
  <c r="K289" i="1"/>
  <c r="K160" i="1"/>
  <c r="K480" i="1"/>
  <c r="K197" i="1"/>
  <c r="K215" i="1"/>
  <c r="K132" i="1"/>
  <c r="K463" i="1"/>
  <c r="K235" i="1"/>
  <c r="K216" i="1"/>
  <c r="K277" i="1"/>
  <c r="K217" i="1"/>
  <c r="K35" i="1"/>
  <c r="K133" i="1"/>
  <c r="K394" i="1"/>
  <c r="K464" i="1"/>
  <c r="K118" i="1"/>
  <c r="K218" i="1"/>
  <c r="K424" i="1"/>
  <c r="K406" i="1"/>
  <c r="K305" i="1"/>
  <c r="K21" i="1"/>
  <c r="K153" i="1"/>
  <c r="K70" i="1"/>
  <c r="K444" i="1"/>
  <c r="K306" i="1"/>
  <c r="K316" i="1"/>
  <c r="K271" i="1"/>
  <c r="K198" i="1"/>
  <c r="K376" i="1"/>
  <c r="K357" i="1"/>
  <c r="K317" i="1"/>
  <c r="K358" i="1"/>
  <c r="K199" i="1"/>
  <c r="K189" i="1"/>
  <c r="K107" i="1"/>
  <c r="K411" i="1"/>
  <c r="K342" i="1"/>
  <c r="K425" i="1"/>
  <c r="K318" i="1"/>
  <c r="K40" i="1"/>
  <c r="K119" i="1"/>
  <c r="K445" i="1"/>
  <c r="K120" i="1"/>
  <c r="K6" i="1"/>
  <c r="K343" i="1"/>
  <c r="K81" i="1"/>
  <c r="K290" i="1"/>
  <c r="K426" i="1"/>
  <c r="K500" i="1"/>
  <c r="K63" i="1"/>
  <c r="K359" i="1"/>
  <c r="K108" i="1"/>
  <c r="K94" i="1"/>
  <c r="K307" i="1"/>
  <c r="K487" i="1"/>
  <c r="K377" i="1"/>
  <c r="K378" i="1"/>
  <c r="K272" i="1"/>
  <c r="K236" i="1"/>
  <c r="K291" i="1"/>
  <c r="K176" i="1"/>
  <c r="K326" i="1"/>
  <c r="K22" i="1"/>
  <c r="K446" i="1"/>
  <c r="K23" i="1"/>
  <c r="K190" i="1"/>
  <c r="K435" i="1"/>
  <c r="K344" i="1"/>
  <c r="K319" i="1"/>
  <c r="K154" i="1"/>
  <c r="K219" i="1"/>
  <c r="K327" i="1"/>
  <c r="K121" i="1"/>
  <c r="K64" i="1"/>
  <c r="K174" i="1"/>
  <c r="K191" i="1"/>
  <c r="K99" i="1"/>
  <c r="K447" i="1"/>
  <c r="K237" i="1"/>
  <c r="K292" i="1"/>
  <c r="K301" i="1"/>
  <c r="K412" i="1"/>
  <c r="K192" i="1"/>
  <c r="K134" i="1"/>
  <c r="K481" i="1"/>
  <c r="K220" i="1"/>
  <c r="K436" i="1"/>
  <c r="K437" i="1"/>
  <c r="K57" i="1"/>
  <c r="K427" i="1"/>
  <c r="K465" i="1"/>
  <c r="K200" i="1"/>
  <c r="K413" i="1"/>
  <c r="K238" i="1"/>
  <c r="K293" i="1"/>
  <c r="K7" i="1"/>
  <c r="K239" i="1"/>
  <c r="K240" i="1"/>
  <c r="K360" i="1"/>
  <c r="K475" i="1"/>
  <c r="K193" i="1"/>
  <c r="K273" i="1"/>
  <c r="K466" i="1"/>
  <c r="K482" i="1"/>
  <c r="K41" i="1"/>
  <c r="K65" i="1"/>
  <c r="K167" i="1"/>
  <c r="K194" i="1"/>
  <c r="K82" i="1"/>
  <c r="K42" i="1"/>
  <c r="K495" i="1"/>
  <c r="K13" i="1"/>
  <c r="K488" i="1"/>
  <c r="K395" i="1"/>
  <c r="K168" i="1"/>
  <c r="K428" i="1"/>
  <c r="K135" i="1"/>
  <c r="K122" i="1"/>
  <c r="K241" i="1"/>
  <c r="K501" i="1"/>
  <c r="K155" i="1"/>
  <c r="K263" i="1"/>
  <c r="K361" i="1"/>
  <c r="K71" i="1"/>
  <c r="K242" i="1"/>
  <c r="K58" i="1"/>
  <c r="K161" i="1"/>
  <c r="K345" i="1"/>
  <c r="K221" i="1"/>
  <c r="K379" i="1"/>
  <c r="K380" i="1"/>
  <c r="K328" i="1"/>
  <c r="K407" i="1"/>
  <c r="K352" i="1"/>
  <c r="K24" i="1"/>
  <c r="K25" i="1"/>
  <c r="K201" i="1"/>
  <c r="K457" i="1"/>
  <c r="K381" i="1"/>
  <c r="K320" i="1"/>
  <c r="K476" i="1"/>
  <c r="K95" i="1"/>
  <c r="K353" i="1"/>
  <c r="K448" i="1"/>
  <c r="K438" i="1"/>
  <c r="K202" i="1"/>
  <c r="K264" i="1"/>
  <c r="K302" i="1"/>
  <c r="K123" i="1"/>
  <c r="K429" i="1"/>
  <c r="K294" i="1"/>
  <c r="K265" i="1"/>
  <c r="K439" i="1"/>
  <c r="K396" i="1"/>
  <c r="K162" i="1"/>
  <c r="K156" i="1"/>
  <c r="K362" i="1"/>
  <c r="K402" i="1"/>
  <c r="K449" i="1"/>
  <c r="K397" i="1"/>
  <c r="K124" i="1"/>
  <c r="K169" i="1"/>
  <c r="K226" i="1"/>
  <c r="K243" i="1"/>
  <c r="K266" i="1"/>
  <c r="K222" i="1"/>
  <c r="K177" i="1"/>
  <c r="K295" i="1"/>
  <c r="K467" i="1"/>
  <c r="K109" i="1"/>
  <c r="K136" i="1"/>
  <c r="K398" i="1"/>
  <c r="K227" i="1"/>
  <c r="K72" i="1"/>
  <c r="K244" i="1"/>
  <c r="K84" i="1"/>
  <c r="K43" i="1"/>
  <c r="K163" i="1"/>
  <c r="K329" i="1"/>
  <c r="K382" i="1"/>
  <c r="K137" i="1"/>
  <c r="K59" i="1"/>
  <c r="K468" i="1"/>
  <c r="K175" i="1"/>
  <c r="K170" i="1"/>
  <c r="K73" i="1"/>
  <c r="K47" i="1"/>
  <c r="K195" i="1"/>
  <c r="K267" i="1"/>
  <c r="K26" i="1"/>
  <c r="K223" i="1"/>
  <c r="K489" i="1"/>
  <c r="K477" i="1"/>
  <c r="K383" i="1"/>
  <c r="K203" i="1"/>
  <c r="K440" i="1"/>
  <c r="K303" i="1"/>
  <c r="K44" i="1"/>
  <c r="K403" i="1"/>
  <c r="K100" i="1"/>
  <c r="K268" i="1"/>
  <c r="K125" i="1"/>
  <c r="K101" i="1"/>
  <c r="K126" i="1"/>
  <c r="K85" i="1"/>
  <c r="K86" i="1"/>
  <c r="K8" i="1"/>
  <c r="K384" i="1"/>
  <c r="K330" i="1"/>
  <c r="K102" i="1"/>
  <c r="K478" i="1"/>
  <c r="K408" i="1"/>
  <c r="K496" i="1"/>
  <c r="K96" i="1"/>
  <c r="K404" i="1"/>
  <c r="K354" i="1"/>
  <c r="K450" i="1"/>
  <c r="K196" i="1"/>
</calcChain>
</file>

<file path=xl/sharedStrings.xml><?xml version="1.0" encoding="utf-8"?>
<sst xmlns="http://schemas.openxmlformats.org/spreadsheetml/2006/main" count="2050" uniqueCount="547">
  <si>
    <t>Order ID</t>
  </si>
  <si>
    <t>Date</t>
  </si>
  <si>
    <t>Region</t>
  </si>
  <si>
    <t>Product</t>
  </si>
  <si>
    <t>Category</t>
  </si>
  <si>
    <t>Quantity</t>
  </si>
  <si>
    <t>Unit Price</t>
  </si>
  <si>
    <t>Sales</t>
  </si>
  <si>
    <t>Cost</t>
  </si>
  <si>
    <t>Profit</t>
  </si>
  <si>
    <t>ORD001</t>
  </si>
  <si>
    <t>North</t>
  </si>
  <si>
    <t>Mobile</t>
  </si>
  <si>
    <t>Electronics</t>
  </si>
  <si>
    <t>ORD002</t>
  </si>
  <si>
    <t>East</t>
  </si>
  <si>
    <t>Monitor</t>
  </si>
  <si>
    <t>ORD003</t>
  </si>
  <si>
    <t>ORD004</t>
  </si>
  <si>
    <t>West</t>
  </si>
  <si>
    <t>Chair</t>
  </si>
  <si>
    <t>Furniture</t>
  </si>
  <si>
    <t>ORD005</t>
  </si>
  <si>
    <t>Notebook</t>
  </si>
  <si>
    <t>Office Supplies</t>
  </si>
  <si>
    <t>ORD006</t>
  </si>
  <si>
    <t>ORD007</t>
  </si>
  <si>
    <t>South</t>
  </si>
  <si>
    <t>ORD008</t>
  </si>
  <si>
    <t>ORD009</t>
  </si>
  <si>
    <t>Laptop</t>
  </si>
  <si>
    <t>ORD010</t>
  </si>
  <si>
    <t>ORD011</t>
  </si>
  <si>
    <t>ORD012</t>
  </si>
  <si>
    <t>Headphones</t>
  </si>
  <si>
    <t>ORD013</t>
  </si>
  <si>
    <t>Table</t>
  </si>
  <si>
    <t>ORD014</t>
  </si>
  <si>
    <t>ORD015</t>
  </si>
  <si>
    <t>ORD016</t>
  </si>
  <si>
    <t>ORD017</t>
  </si>
  <si>
    <t>ORD018</t>
  </si>
  <si>
    <t>ORD019</t>
  </si>
  <si>
    <t>ORD020</t>
  </si>
  <si>
    <t>ORD021</t>
  </si>
  <si>
    <t>ORD022</t>
  </si>
  <si>
    <t>ORD023</t>
  </si>
  <si>
    <t>ORD024</t>
  </si>
  <si>
    <t>ORD025</t>
  </si>
  <si>
    <t>Printer</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</si>
  <si>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</si>
  <si>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</si>
  <si>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</si>
  <si>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</si>
  <si>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</si>
  <si>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</si>
  <si>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</si>
  <si>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</si>
  <si>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</si>
  <si>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</si>
  <si>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</si>
  <si>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</si>
  <si>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</si>
  <si>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</si>
  <si>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</si>
  <si>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</si>
  <si>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</si>
  <si>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</si>
  <si>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</si>
  <si>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</si>
  <si>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</si>
  <si>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</si>
  <si>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</si>
  <si>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</si>
  <si>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</si>
  <si>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</si>
  <si>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</si>
  <si>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</si>
  <si>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</si>
  <si>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</si>
  <si>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</si>
  <si>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</si>
  <si>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</si>
  <si>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</si>
  <si>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</si>
  <si>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</si>
  <si>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</si>
  <si>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</si>
  <si>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</si>
  <si>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</si>
  <si>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</si>
  <si>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</si>
  <si>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</si>
  <si>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</si>
  <si>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</si>
  <si>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</si>
  <si>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</si>
  <si>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</si>
  <si>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</si>
  <si>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</si>
  <si>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</si>
  <si>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</si>
  <si>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</si>
  <si>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</si>
  <si>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</si>
  <si>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</si>
  <si>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</si>
  <si>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</si>
  <si>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</si>
  <si>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</si>
  <si>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</si>
  <si>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</si>
  <si>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</si>
  <si>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</si>
  <si>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</si>
  <si>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</si>
  <si>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</si>
  <si>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</si>
  <si>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</si>
  <si>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</si>
  <si>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</si>
  <si>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</si>
  <si>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</si>
  <si>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</si>
  <si>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</si>
  <si>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</si>
  <si>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</si>
  <si>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</si>
  <si>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</si>
  <si>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</si>
  <si>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</si>
  <si>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</si>
  <si>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</si>
  <si>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</si>
  <si>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</si>
  <si>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</si>
  <si>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</si>
  <si>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</si>
  <si>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</si>
  <si>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</si>
  <si>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</si>
  <si>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</si>
  <si>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</si>
  <si>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</si>
  <si>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</si>
  <si>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</si>
  <si>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</si>
  <si>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</si>
  <si>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</si>
  <si>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</si>
  <si>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</si>
  <si>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</si>
  <si>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</si>
  <si>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</si>
  <si>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</si>
  <si>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</si>
  <si>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</si>
  <si>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</si>
  <si>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</si>
  <si>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</si>
  <si>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</si>
  <si>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</si>
  <si>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</si>
  <si>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</si>
  <si>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</si>
  <si>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</si>
  <si>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</si>
  <si>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</si>
  <si>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</si>
  <si>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</si>
  <si>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</si>
  <si>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</si>
  <si>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</si>
  <si>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</si>
  <si>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</si>
  <si>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</si>
  <si>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</si>
  <si>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</si>
  <si>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</si>
  <si>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</si>
  <si>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</si>
  <si>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</si>
  <si>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</si>
  <si>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</si>
  <si>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</si>
  <si>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</si>
  <si>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</si>
  <si>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</si>
  <si>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</si>
  <si>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</si>
  <si>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</si>
  <si>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</si>
  <si>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</si>
  <si>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</si>
  <si>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</si>
  <si>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</si>
  <si>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</si>
  <si>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</si>
  <si>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</si>
  <si>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</si>
  <si>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</si>
  <si>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</si>
  <si>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</si>
  <si>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</si>
  <si>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</si>
  <si>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</si>
  <si>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</si>
  <si>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</si>
  <si>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</si>
  <si>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</si>
  <si>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</si>
  <si>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</si>
  <si>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</si>
  <si>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</si>
  <si>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</si>
  <si>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</si>
  <si>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</si>
  <si>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</si>
  <si>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</si>
  <si>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</si>
  <si>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</si>
  <si>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</si>
  <si>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</si>
  <si>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</si>
  <si>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</si>
  <si>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</si>
  <si>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</si>
  <si>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</si>
  <si>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</si>
  <si>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</si>
  <si>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</si>
  <si>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</si>
  <si>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</si>
  <si>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</si>
  <si>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</si>
  <si>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</si>
  <si>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</si>
  <si>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</si>
  <si>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</si>
  <si>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</si>
  <si>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</si>
  <si>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</si>
  <si>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</si>
  <si>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</si>
  <si>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</si>
  <si>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</si>
  <si>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</si>
  <si>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</si>
  <si>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</si>
  <si>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</si>
  <si>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</si>
  <si>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</si>
  <si>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</si>
  <si>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</si>
  <si>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</si>
  <si>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</si>
  <si>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</si>
  <si>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</si>
  <si>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</si>
  <si>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</si>
  <si>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</si>
  <si>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</si>
  <si>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</si>
  <si>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</si>
  <si>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</si>
  <si>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</si>
  <si>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</si>
  <si>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</si>
  <si>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</si>
  <si>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</si>
  <si>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</si>
  <si>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</si>
  <si>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</si>
  <si>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</si>
  <si>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</si>
  <si>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</si>
  <si>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</si>
  <si>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</si>
  <si>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</si>
  <si>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</si>
  <si>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</si>
  <si>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</si>
  <si>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</si>
  <si>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</si>
  <si>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</si>
  <si>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</si>
  <si>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</si>
  <si>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</si>
  <si>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</si>
  <si>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</si>
  <si>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</si>
  <si>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</si>
  <si>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</si>
  <si>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</si>
  <si>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</si>
  <si>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</si>
  <si>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</si>
  <si>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</si>
  <si>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</si>
  <si>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</si>
  <si>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</si>
  <si>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</si>
  <si>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</si>
  <si>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</si>
  <si>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</si>
  <si>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</si>
  <si>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</si>
  <si>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</si>
  <si>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</si>
  <si>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</si>
  <si>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</si>
  <si>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</si>
  <si>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</si>
  <si>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</si>
  <si>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</si>
  <si>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</si>
  <si>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</si>
  <si>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</si>
  <si>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</si>
  <si>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</si>
  <si>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</si>
  <si>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</si>
  <si>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</si>
  <si>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</si>
  <si>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</si>
  <si>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</si>
  <si>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</si>
  <si>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</si>
  <si>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</si>
  <si>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</si>
  <si>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</si>
  <si>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</si>
  <si>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</si>
  <si>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</si>
  <si>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</si>
  <si>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</si>
  <si>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</si>
  <si>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</si>
  <si>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</si>
  <si>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</si>
  <si>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</si>
  <si>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</si>
  <si>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</si>
  <si>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</si>
  <si>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</si>
  <si>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</si>
  <si>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</si>
  <si>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</si>
  <si>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</si>
  <si>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</si>
  <si>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</si>
  <si>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</si>
  <si>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</si>
  <si>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</si>
  <si>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</si>
  <si>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</si>
  <si>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</si>
  <si>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</si>
  <si>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</si>
  <si>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</si>
  <si>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</si>
  <si>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</si>
  <si>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</si>
  <si>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</si>
  <si>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</si>
  <si>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</si>
  <si>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</si>
  <si>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</si>
  <si>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</si>
  <si>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</si>
  <si>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</si>
  <si>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</si>
  <si>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</si>
  <si>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</si>
  <si>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</si>
  <si>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</si>
  <si>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</si>
  <si>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</si>
  <si>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</si>
  <si>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</si>
  <si>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</si>
  <si>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</si>
  <si>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</si>
  <si>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</si>
  <si>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</si>
  <si>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</si>
  <si>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</si>
  <si>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</si>
  <si>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</si>
  <si>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</si>
  <si>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</si>
  <si>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</si>
  <si>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</si>
  <si>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</si>
  <si>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</si>
  <si>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</si>
  <si>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</si>
  <si>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</si>
  <si>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</si>
  <si>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</si>
  <si>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</si>
  <si>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</si>
  <si>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</si>
  <si>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</si>
  <si>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</si>
  <si>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</si>
  <si>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</si>
  <si>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</si>
  <si>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</si>
  <si>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</si>
  <si>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</si>
  <si>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</si>
  <si>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</si>
  <si>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</si>
  <si>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</si>
  <si>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</si>
  <si>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</si>
  <si>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</si>
  <si>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</si>
  <si>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</si>
  <si>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</si>
  <si>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</si>
  <si>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</si>
  <si>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</si>
  <si>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</si>
  <si>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</si>
  <si>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</si>
  <si>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</si>
  <si>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</si>
  <si>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</si>
  <si>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</si>
  <si>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</si>
  <si>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</si>
  <si>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</si>
  <si>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</si>
  <si>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</si>
  <si>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</si>
  <si>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</si>
  <si>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</si>
  <si>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</si>
  <si>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</si>
  <si>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</si>
  <si>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</si>
  <si>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</si>
  <si>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</si>
  <si>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</si>
  <si>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</si>
  <si>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</si>
  <si>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</si>
  <si>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</si>
  <si>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</si>
  <si>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</si>
  <si>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</si>
  <si>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</si>
  <si>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</si>
  <si>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</si>
  <si>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</si>
  <si>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</si>
  <si>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</si>
  <si>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</si>
  <si>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</si>
  <si>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</si>
  <si>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</si>
  <si>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</si>
  <si>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</si>
  <si>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</si>
  <si>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</si>
  <si>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</si>
  <si>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</si>
  <si>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</si>
  <si>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</si>
  <si>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</si>
  <si>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</si>
  <si>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</si>
  <si>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</si>
  <si>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</si>
  <si>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</si>
  <si>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</si>
  <si>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</si>
  <si>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</si>
  <si>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</si>
  <si>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</si>
  <si>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</si>
  <si>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</si>
  <si>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</si>
  <si>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</si>
  <si>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</si>
  <si>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</si>
  <si>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</si>
  <si>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</si>
  <si>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</si>
  <si>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</si>
  <si>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</si>
  <si>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</si>
  <si>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</si>
  <si>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</si>
  <si>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</si>
  <si>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</si>
  <si>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</si>
  <si>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</si>
  <si>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</si>
  <si>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</si>
  <si>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</si>
  <si>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</si>
  <si>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</si>
  <si>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</si>
  <si>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</si>
  <si>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</si>
  <si>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</si>
  <si>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</si>
  <si>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</si>
  <si>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</si>
  <si>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</si>
  <si>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</si>
  <si>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</si>
  <si>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</si>
  <si>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</si>
  <si>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</si>
  <si>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</si>
  <si>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</si>
  <si>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</si>
  <si>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</si>
  <si>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</si>
  <si>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</si>
  <si>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</si>
  <si>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Sum of Sales</t>
  </si>
  <si>
    <t>Row Labels</t>
  </si>
  <si>
    <t>Grand Total</t>
  </si>
  <si>
    <t>Sum of Profit</t>
  </si>
  <si>
    <t>Month</t>
  </si>
  <si>
    <t>Oct</t>
  </si>
  <si>
    <t>Nov</t>
  </si>
  <si>
    <t>Dec</t>
  </si>
  <si>
    <t>Jan</t>
  </si>
  <si>
    <t>Feb</t>
  </si>
  <si>
    <t>Mar</t>
  </si>
  <si>
    <t>Apr</t>
  </si>
  <si>
    <t>May</t>
  </si>
  <si>
    <t>Jun</t>
  </si>
  <si>
    <t>Jul</t>
  </si>
  <si>
    <t>Aug</t>
  </si>
  <si>
    <t>Sep</t>
  </si>
  <si>
    <t>Total Sales</t>
  </si>
  <si>
    <t>Total Profit</t>
  </si>
  <si>
    <t>Total Orders</t>
  </si>
  <si>
    <t>Avg Order Value</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</si>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</sst>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0" fillId="0" borderId="0" xfId="0" applyNumberFormat="1"/>
    <xf numFmtId="0" fontId="3" fillId="0" borderId="1" xfId="0" applyFont="1" applyBorder="1" applyAlignment="1">
      <alignment horizontal="center"/>
    </xf>
    <xf numFmtId="0" fontId="2" fillId="0" borderId="1" xfId="0" applyFont="1" applyBorder="1"/>
    <xf numFmtId="43" fontId="0" fillId="0" borderId="1" xfId="1" applyFont="1" applyBorder="1"/>
    <xf numFmtId="0" fontId="0" fillId="0" borderId="1" xfId="0" applyBorder="1"/>
  </cellXfs>
  <cellStyles count="2">
    <cellStyle name="Comma" xfId="1" builtinId="3"/>
    <cellStyle name="Normal" xfId="0" builtinId="0"/>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[Sales_Data_500_Records.xlsx]Sheet1!PivotTable1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Sales</c:v>
                </c:pt>
              </c:strCache>
            </c:strRef>
          </c:tx>
          <c:spPr>
            <a:solidFill>
              <a:schemeClr val="accent1"/>
            </a:solidFill>
            <a:ln>
              <a:noFill/>
            </a:ln>
            <a:effectLst/>
          </c:spPr>
          <c:invertIfNegative val="0"/>
          <c:cat>
            <c:multiLvlStrRef>
              <c:f>Sheet1!$A$4:$A$8</c:f>
              <c:multiLvlStrCache>
                <c:ptCount val="3"/>
                <c:lvl>
                  <c:pt idx="0">
                    <c:v>Electronics</c:v>
                  </c:pt>
                  <c:pt idx="1">
                    <c:v>Furniture</c:v>
                  </c:pt>
                  <c:pt idx="2">
                    <c:v>Office Supplies</c:v>
                  </c:pt>
                </c:lvl>
                <c:lvl>
                  <c:pt idx="0">
                    <c:v>South</c:v>
                  </c:pt>
                </c:lvl>
              </c:multiLvlStrCache>
            </c:multiLvlStrRef>
          </c:cat>
          <c:val>
            <c:numRef>
              <c:f>Sheet1!$B$4:$B$8</c:f>
              <c:numCache>
                <c:formatCode>General</c:formatCode>
                <c:ptCount val="3"/>
                <c:pt idx="0">
                  <c:v>10471000</c:v>
                </c:pt>
                <c:pt idx="1">
                  <c:v>1645000</c:v>
                </c:pt>
                <c:pt idx="2">
                  <c:v>434000</c:v>
                </c:pt>
              </c:numCache>
            </c:numRef>
          </c:val>
          <c:extLst>
            <c:ext xmlns:c16="http://schemas.microsoft.com/office/drawing/2014/chart" uri="{C3380CC4-5D6E-409C-BE32-E72D297353CC}">
              <c16:uniqueId val="{00000000-F172-4B18-AD9A-8186C559CA3B}"/>
            </c:ext>
          </c:extLst>
        </c:ser>
        <c:ser>
          <c:idx val="1"/>
          <c:order val="1"/>
          <c:tx>
            <c:strRef>
              <c:f>Sheet1!$C$3</c:f>
              <c:strCache>
                <c:ptCount val="1"/>
                <c:pt idx="0">
                  <c:v>Sum of Profit</c:v>
                </c:pt>
              </c:strCache>
            </c:strRef>
          </c:tx>
          <c:spPr>
            <a:solidFill>
              <a:schemeClr val="accent2"/>
            </a:solidFill>
            <a:ln>
              <a:noFill/>
            </a:ln>
            <a:effectLst/>
          </c:spPr>
          <c:invertIfNegative val="0"/>
          <c:cat>
            <c:multiLvlStrRef>
              <c:f>Sheet1!$A$4:$A$8</c:f>
              <c:multiLvlStrCache>
                <c:ptCount val="3"/>
                <c:lvl>
                  <c:pt idx="0">
                    <c:v>Electronics</c:v>
                  </c:pt>
                  <c:pt idx="1">
                    <c:v>Furniture</c:v>
                  </c:pt>
                  <c:pt idx="2">
                    <c:v>Office Supplies</c:v>
                  </c:pt>
                </c:lvl>
                <c:lvl>
                  <c:pt idx="0">
                    <c:v>South</c:v>
                  </c:pt>
                </c:lvl>
              </c:multiLvlStrCache>
            </c:multiLvlStrRef>
          </c:cat>
          <c:val>
            <c:numRef>
              <c:f>Sheet1!$C$4:$C$8</c:f>
              <c:numCache>
                <c:formatCode>General</c:formatCode>
                <c:ptCount val="3"/>
                <c:pt idx="0">
                  <c:v>2623630</c:v>
                </c:pt>
                <c:pt idx="1">
                  <c:v>435500</c:v>
                </c:pt>
                <c:pt idx="2">
                  <c:v>97560</c:v>
                </c:pt>
              </c:numCache>
            </c:numRef>
          </c:val>
          <c:extLst>
            <c:ext xmlns:c16="http://schemas.microsoft.com/office/drawing/2014/chart" uri="{C3380CC4-5D6E-409C-BE32-E72D297353CC}">
              <c16:uniqueId val="{00000001-F172-4B18-AD9A-8186C559CA3B}"/>
            </c:ext>
          </c:extLst>
        </c:ser>
        <c:dLbls>
          <c:showLegendKey val="0"/>
          <c:showVal val="0"/>
          <c:showCatName val="0"/>
          <c:showSerName val="0"/>
          <c:showPercent val="0"/>
          <c:showBubbleSize val="0"/>
        </c:dLbls>
        <c:gapWidth val="219"/>
        <c:overlap val="-27"/>
        <c:axId val="447240031"/>
        <c:axId val="447240511"/>
      </c:barChart>
      <c:catAx>
        <c:axId val="44724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40511"/>
        <c:crosses val="autoZero"/>
        <c:auto val="1"/>
        <c:lblAlgn val="ctr"/>
        <c:lblOffset val="100"/>
        <c:noMultiLvlLbl val="0"/>
      </c:catAx>
      <c:valAx>
        <c:axId val="44724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4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[Sales_Data_500_Records.xlsx]Sheet1!PivotTable2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Sheet1!$G$3</c:f>
              <c:strCache>
                <c:ptCount val="1"/>
                <c:pt idx="0">
                  <c:v>Total</c:v>
                </c:pt>
              </c:strCache>
            </c:strRef>
          </c:tx>
          <c:spPr>
            <a:solidFill>
              <a:schemeClr val="accent1"/>
            </a:solidFill>
            <a:ln>
              <a:noFill/>
            </a:ln>
            <a:effectLst/>
          </c:spPr>
          <c:invertIfNegative val="0"/>
          <c:cat>
            <c:strRef>
              <c:f>Sheet1!$F$4:$F$16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Sheet1!$G$4:$G$16</c:f>
              <c:numCache>
                <c:formatCode>General</c:formatCode>
                <c:ptCount val="12"/>
                <c:pt idx="0">
                  <c:v>5541000</c:v>
                </c:pt>
                <c:pt idx="1">
                  <c:v>5033500</c:v>
                </c:pt>
                <c:pt idx="2">
                  <c:v>2099500</c:v>
                </c:pt>
                <c:pt idx="3">
                  <c:v>2230500</c:v>
                </c:pt>
                <c:pt idx="4">
                  <c:v>2256000</c:v>
                </c:pt>
                <c:pt idx="5">
                  <c:v>1924500</c:v>
                </c:pt>
                <c:pt idx="6">
                  <c:v>2130500</c:v>
                </c:pt>
                <c:pt idx="7">
                  <c:v>2536500</c:v>
                </c:pt>
                <c:pt idx="8">
                  <c:v>2191000</c:v>
                </c:pt>
                <c:pt idx="9">
                  <c:v>4986500</c:v>
                </c:pt>
                <c:pt idx="10">
                  <c:v>5824500</c:v>
                </c:pt>
                <c:pt idx="11">
                  <c:v>3586000</c:v>
                </c:pt>
              </c:numCache>
            </c:numRef>
          </c:val>
          <c:extLst>
            <c:ext xmlns:c16="http://schemas.microsoft.com/office/drawing/2014/chart" uri="{C3380CC4-5D6E-409C-BE32-E72D297353CC}">
              <c16:uniqueId val="{00000000-C838-4AE7-AB89-88BFF66E13C9}"/>
            </c:ext>
          </c:extLst>
        </c:ser>
        <c:dLbls>
          <c:showLegendKey val="0"/>
          <c:showVal val="0"/>
          <c:showCatName val="0"/>
          <c:showSerName val="0"/>
          <c:showPercent val="0"/>
          <c:showBubbleSize val="0"/>
        </c:dLbls>
        <c:gapWidth val="219"/>
        <c:overlap val="-27"/>
        <c:axId val="973525807"/>
        <c:axId val="973516207"/>
      </c:barChart>
      <c:catAx>
        <c:axId val="97352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516207"/>
        <c:crosses val="autoZero"/>
        <c:auto val="1"/>
        <c:lblAlgn val="ctr"/>
        <c:lblOffset val="100"/>
        <c:noMultiLvlLbl val="0"/>
      </c:catAx>
      <c:valAx>
        <c:axId val="97351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52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[Sales_Data_500_Records.xlsx]Sheet1!PivotTable4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Selling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Sheet1!$S$3</c:f>
              <c:strCache>
                <c:ptCount val="1"/>
                <c:pt idx="0">
                  <c:v>Total</c:v>
                </c:pt>
              </c:strCache>
            </c:strRef>
          </c:tx>
          <c:spPr>
            <a:solidFill>
              <a:schemeClr val="accent1"/>
            </a:solidFill>
            <a:ln>
              <a:noFill/>
            </a:ln>
            <a:effectLst/>
          </c:spPr>
          <c:invertIfNegative val="0"/>
          <c:cat>
            <c:strRef>
              <c:f>Sheet1!$R$4:$R$12</c:f>
              <c:strCache>
                <c:ptCount val="8"/>
                <c:pt idx="0">
                  <c:v>Laptop</c:v>
                </c:pt>
                <c:pt idx="1">
                  <c:v>Mobile</c:v>
                </c:pt>
                <c:pt idx="2">
                  <c:v>Monitor</c:v>
                </c:pt>
                <c:pt idx="3">
                  <c:v>Table</c:v>
                </c:pt>
                <c:pt idx="4">
                  <c:v>Printer</c:v>
                </c:pt>
                <c:pt idx="5">
                  <c:v>Chair</c:v>
                </c:pt>
                <c:pt idx="6">
                  <c:v>Headphones</c:v>
                </c:pt>
                <c:pt idx="7">
                  <c:v>Notebook</c:v>
                </c:pt>
              </c:strCache>
            </c:strRef>
          </c:cat>
          <c:val>
            <c:numRef>
              <c:f>Sheet1!$S$4:$S$12</c:f>
              <c:numCache>
                <c:formatCode>General</c:formatCode>
                <c:ptCount val="8"/>
                <c:pt idx="0">
                  <c:v>20750000</c:v>
                </c:pt>
                <c:pt idx="1">
                  <c:v>6080000</c:v>
                </c:pt>
                <c:pt idx="2">
                  <c:v>4380000</c:v>
                </c:pt>
                <c:pt idx="3">
                  <c:v>3910000</c:v>
                </c:pt>
                <c:pt idx="4">
                  <c:v>2016000</c:v>
                </c:pt>
                <c:pt idx="5">
                  <c:v>1875000</c:v>
                </c:pt>
                <c:pt idx="6">
                  <c:v>1113000</c:v>
                </c:pt>
                <c:pt idx="7">
                  <c:v>216000</c:v>
                </c:pt>
              </c:numCache>
            </c:numRef>
          </c:val>
          <c:extLst>
            <c:ext xmlns:c16="http://schemas.microsoft.com/office/drawing/2014/chart" uri="{C3380CC4-5D6E-409C-BE32-E72D297353CC}">
              <c16:uniqueId val="{00000000-BFCC-45B1-BC46-3045133C6364}"/>
            </c:ext>
          </c:extLst>
        </c:ser>
        <c:dLbls>
          <c:showLegendKey val="0"/>
          <c:showVal val="0"/>
          <c:showCatName val="0"/>
          <c:showSerName val="0"/>
          <c:showPercent val="0"/>
          <c:showBubbleSize val="0"/>
        </c:dLbls>
        <c:gapWidth val="219"/>
        <c:overlap val="-27"/>
        <c:axId val="987924303"/>
        <c:axId val="987923343"/>
      </c:barChart>
      <c:catAx>
        <c:axId val="98792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923343"/>
        <c:crosses val="autoZero"/>
        <c:auto val="1"/>
        <c:lblAlgn val="ctr"/>
        <c:lblOffset val="100"/>
        <c:noMultiLvlLbl val="0"/>
      </c:catAx>
      <c:valAx>
        <c:axId val="98792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92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0</xdr:rowOff>
    </xdr:from>
    <xdr:to>
      <xdr:col>4</xdr:col>
      <xdr:colOff>285750</xdr:colOff>
      <xdr:row>19</xdr:row>
      <xdr:rowOff>76200</xdr:rowOff>
    </xdr:to>
    <xdr:graphicFrame macro="">
      <xdr:nvGraphicFramePr>
        <xdr:cNvPr id="2" name="Region-wise Sales &amp; Profit">
          <a:extLst>
            <a:ext uri="{FF2B5EF4-FFF2-40B4-BE49-F238E27FC236}">
              <a16:creationId xmlns:a16="http://schemas.microsoft.com/office/drawing/2014/main" id="{DA377D0E-F6B5-4E4F-9F38-5D0CEA689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5</xdr:row>
      <xdr:rowOff>0</xdr:rowOff>
    </xdr:from>
    <xdr:to>
      <xdr:col>8</xdr:col>
      <xdr:colOff>285750</xdr:colOff>
      <xdr:row>19</xdr:row>
      <xdr:rowOff>71437</xdr:rowOff>
    </xdr:to>
    <xdr:graphicFrame macro="">
      <xdr:nvGraphicFramePr>
        <xdr:cNvPr id="3" name="Chart 2">
          <a:extLst>
            <a:ext uri="{FF2B5EF4-FFF2-40B4-BE49-F238E27FC236}">
              <a16:creationId xmlns:a16="http://schemas.microsoft.com/office/drawing/2014/main" id="{8DC3D18F-055C-42B5-83DD-24E2D4BBF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5</xdr:row>
      <xdr:rowOff>0</xdr:rowOff>
    </xdr:from>
    <xdr:to>
      <xdr:col>12</xdr:col>
      <xdr:colOff>285750</xdr:colOff>
      <xdr:row>19</xdr:row>
      <xdr:rowOff>76200</xdr:rowOff>
    </xdr:to>
    <xdr:graphicFrame macro="">
      <xdr:nvGraphicFramePr>
        <xdr:cNvPr id="4" name="Chart 3">
          <a:extLst>
            <a:ext uri="{FF2B5EF4-FFF2-40B4-BE49-F238E27FC236}">
              <a16:creationId xmlns:a16="http://schemas.microsoft.com/office/drawing/2014/main" id="{3E128808-7F87-409D-9FB7-7064D7594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830036</xdr:colOff>
      <xdr:row>5</xdr:row>
      <xdr:rowOff>163285</xdr:rowOff>
    </xdr:from>
    <xdr:to>
      <xdr:col>15</xdr:col>
      <xdr:colOff>1230086</xdr:colOff>
      <xdr:row>19</xdr:row>
      <xdr:rowOff>20410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8CE5EE6D-15EC-4ED0-A6EB-A834A0B647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832536" y="119742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6</xdr:row>
      <xdr:rowOff>0</xdr:rowOff>
    </xdr:from>
    <xdr:to>
      <xdr:col>14</xdr:col>
      <xdr:colOff>400050</xdr:colOff>
      <xdr:row>19</xdr:row>
      <xdr:rowOff>47625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3B0DC258-39AD-4CFD-B485-4ECF257C6F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573750" y="122464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eshma" refreshedDate="46181.378380439812" createdVersion="8" refreshedVersion="8" minRefreshableVersion="3" recordCount="500" xr:uid="{F9AE8E85-9CF2-4710-95B1-9881B8E1C906}">
  <cacheSource type="worksheet">
    <worksheetSource name="Table1"/>
  </cacheSource>
  <cacheFields count="11">
    <cacheField name="Order ID" numFmtId="0">
      <sharedItems/>
    </cacheField>
    <cacheField name="Date" numFmtId="14">
      <sharedItems containsSemiMixedTypes="0" containsNonDate="0" containsDate="1" containsString="0" minDate="2025-10-03T00:00:00" maxDate="2027-02-15T00:00:00" count="5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sharedItems>
    </cacheField>
    <cacheField name="Region" numFmtId="0">
      <sharedItems count="4">
        <s v="North"/>
        <s v="East"/>
        <s v="West"/>
        <s v="South"/>
      </sharedItems>
    </cacheField>
    <cacheField name="Product" numFmtId="0">
      <sharedItems count="8">
        <s v="Mobile"/>
        <s v="Monitor"/>
        <s v="Chair"/>
        <s v="Notebook"/>
        <s v="Laptop"/>
        <s v="Headphones"/>
        <s v="Table"/>
        <s v="Printer"/>
      </sharedItems>
    </cacheField>
    <cacheField name="Category" numFmtId="0">
      <sharedItems count="3">
        <s v="Electronics"/>
        <s v="Furniture"/>
        <s v="Office Supplies"/>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500" maxValue="50000"/>
    </cacheField>
    <cacheField name="Sales" numFmtId="0">
      <sharedItems containsSemiMixedTypes="0" containsString="0" containsNumber="1" containsInteger="1" minValue="500" maxValue="500000"/>
    </cacheField>
    <cacheField name="Cost" numFmtId="0">
      <sharedItems containsSemiMixedTypes="0" containsString="0" containsNumber="1" containsInteger="1" minValue="325" maxValue="400000"/>
    </cacheField>
    <cacheField name="Profit" numFmtId="0">
      <sharedItems containsSemiMixedTypes="0" containsString="0" containsNumber="1" containsInteger="1" minValue="80" maxValue="165000"/>
    </cacheField>
    <cacheField name="Month" numFmtId="0">
      <sharedItems count="12">
        <s v="Oct"/>
        <s v="Nov"/>
        <s v="Dec"/>
        <s v="Jan"/>
        <s v="Feb"/>
        <s v="Mar"/>
        <s v="Apr"/>
        <s v="May"/>
        <s v="Jun"/>
        <s v="Jul"/>
        <s v="Aug"/>
        <s v="Sep"/>
      </sharedItems>
    </cacheField>
  </cacheFields>
  <extLst>
    <ext xmlns:x14="http://schemas.microsoft.com/office/spreadsheetml/2009/9/main" uri="{725AE2AE-9491-48be-B2B4-4EB974FC3084}">
      <x14:pivotCacheDefinition pivotCacheId="1200751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1"/>
    <x v="0"/>
    <x v="0"/>
    <x v="0"/>
    <x v="0"/>
    <n v="8"/>
    <n v="20000"/>
    <n v="160000"/>
    <n v="115200"/>
    <n v="44800"/>
    <x v="0"/>
  </r>
  <r>
    <s v="ORD002"/>
    <x v="1"/>
    <x v="1"/>
    <x v="1"/>
    <x v="0"/>
    <n v="1"/>
    <n v="15000"/>
    <n v="15000"/>
    <n v="11400"/>
    <n v="3600"/>
    <x v="0"/>
  </r>
  <r>
    <s v="ORD003"/>
    <x v="2"/>
    <x v="1"/>
    <x v="0"/>
    <x v="0"/>
    <n v="2"/>
    <n v="20000"/>
    <n v="40000"/>
    <n v="27200"/>
    <n v="12800"/>
    <x v="0"/>
  </r>
  <r>
    <s v="ORD004"/>
    <x v="3"/>
    <x v="2"/>
    <x v="2"/>
    <x v="1"/>
    <n v="3"/>
    <n v="5000"/>
    <n v="15000"/>
    <n v="11400"/>
    <n v="3600"/>
    <x v="0"/>
  </r>
  <r>
    <s v="ORD005"/>
    <x v="4"/>
    <x v="2"/>
    <x v="3"/>
    <x v="2"/>
    <n v="5"/>
    <n v="500"/>
    <n v="2500"/>
    <n v="1775"/>
    <n v="725"/>
    <x v="0"/>
  </r>
  <r>
    <s v="ORD006"/>
    <x v="5"/>
    <x v="1"/>
    <x v="3"/>
    <x v="2"/>
    <n v="6"/>
    <n v="500"/>
    <n v="3000"/>
    <n v="2460"/>
    <n v="540"/>
    <x v="0"/>
  </r>
  <r>
    <s v="ORD007"/>
    <x v="6"/>
    <x v="3"/>
    <x v="1"/>
    <x v="0"/>
    <n v="5"/>
    <n v="15000"/>
    <n v="75000"/>
    <n v="58500"/>
    <n v="16500"/>
    <x v="0"/>
  </r>
  <r>
    <s v="ORD008"/>
    <x v="7"/>
    <x v="2"/>
    <x v="1"/>
    <x v="0"/>
    <n v="3"/>
    <n v="15000"/>
    <n v="45000"/>
    <n v="31500"/>
    <n v="13500"/>
    <x v="0"/>
  </r>
  <r>
    <s v="ORD009"/>
    <x v="8"/>
    <x v="1"/>
    <x v="4"/>
    <x v="0"/>
    <n v="7"/>
    <n v="50000"/>
    <n v="350000"/>
    <n v="262500"/>
    <n v="87500"/>
    <x v="0"/>
  </r>
  <r>
    <s v="ORD010"/>
    <x v="9"/>
    <x v="3"/>
    <x v="2"/>
    <x v="1"/>
    <n v="8"/>
    <n v="5000"/>
    <n v="40000"/>
    <n v="29200"/>
    <n v="10800"/>
    <x v="0"/>
  </r>
  <r>
    <s v="ORD011"/>
    <x v="10"/>
    <x v="3"/>
    <x v="3"/>
    <x v="2"/>
    <n v="2"/>
    <n v="500"/>
    <n v="1000"/>
    <n v="770"/>
    <n v="230"/>
    <x v="0"/>
  </r>
  <r>
    <s v="ORD012"/>
    <x v="11"/>
    <x v="3"/>
    <x v="5"/>
    <x v="0"/>
    <n v="7"/>
    <n v="3000"/>
    <n v="21000"/>
    <n v="16800"/>
    <n v="4200"/>
    <x v="0"/>
  </r>
  <r>
    <s v="ORD013"/>
    <x v="12"/>
    <x v="3"/>
    <x v="6"/>
    <x v="1"/>
    <n v="6"/>
    <n v="10000"/>
    <n v="60000"/>
    <n v="42000"/>
    <n v="18000"/>
    <x v="0"/>
  </r>
  <r>
    <s v="ORD014"/>
    <x v="13"/>
    <x v="0"/>
    <x v="5"/>
    <x v="0"/>
    <n v="8"/>
    <n v="3000"/>
    <n v="24000"/>
    <n v="16080"/>
    <n v="7920"/>
    <x v="0"/>
  </r>
  <r>
    <s v="ORD015"/>
    <x v="14"/>
    <x v="2"/>
    <x v="4"/>
    <x v="0"/>
    <n v="5"/>
    <n v="50000"/>
    <n v="250000"/>
    <n v="202500"/>
    <n v="47500"/>
    <x v="0"/>
  </r>
  <r>
    <s v="ORD016"/>
    <x v="15"/>
    <x v="0"/>
    <x v="6"/>
    <x v="1"/>
    <n v="5"/>
    <n v="10000"/>
    <n v="50000"/>
    <n v="42500"/>
    <n v="7500"/>
    <x v="0"/>
  </r>
  <r>
    <s v="ORD017"/>
    <x v="16"/>
    <x v="0"/>
    <x v="2"/>
    <x v="1"/>
    <n v="1"/>
    <n v="5000"/>
    <n v="5000"/>
    <n v="3450"/>
    <n v="1550"/>
    <x v="0"/>
  </r>
  <r>
    <s v="ORD018"/>
    <x v="17"/>
    <x v="1"/>
    <x v="3"/>
    <x v="2"/>
    <n v="3"/>
    <n v="500"/>
    <n v="1500"/>
    <n v="1245"/>
    <n v="255"/>
    <x v="0"/>
  </r>
  <r>
    <s v="ORD019"/>
    <x v="18"/>
    <x v="1"/>
    <x v="6"/>
    <x v="1"/>
    <n v="9"/>
    <n v="10000"/>
    <n v="90000"/>
    <n v="71100"/>
    <n v="18900"/>
    <x v="0"/>
  </r>
  <r>
    <s v="ORD020"/>
    <x v="19"/>
    <x v="0"/>
    <x v="5"/>
    <x v="0"/>
    <n v="3"/>
    <n v="3000"/>
    <n v="9000"/>
    <n v="6210"/>
    <n v="2790"/>
    <x v="0"/>
  </r>
  <r>
    <s v="ORD021"/>
    <x v="20"/>
    <x v="3"/>
    <x v="4"/>
    <x v="0"/>
    <n v="6"/>
    <n v="50000"/>
    <n v="300000"/>
    <n v="237000"/>
    <n v="63000"/>
    <x v="0"/>
  </r>
  <r>
    <s v="ORD022"/>
    <x v="21"/>
    <x v="0"/>
    <x v="2"/>
    <x v="1"/>
    <n v="8"/>
    <n v="5000"/>
    <n v="40000"/>
    <n v="32800"/>
    <n v="7200"/>
    <x v="0"/>
  </r>
  <r>
    <s v="ORD023"/>
    <x v="22"/>
    <x v="1"/>
    <x v="6"/>
    <x v="1"/>
    <n v="2"/>
    <n v="10000"/>
    <n v="20000"/>
    <n v="13200"/>
    <n v="6800"/>
    <x v="0"/>
  </r>
  <r>
    <s v="ORD024"/>
    <x v="23"/>
    <x v="1"/>
    <x v="1"/>
    <x v="0"/>
    <n v="1"/>
    <n v="15000"/>
    <n v="15000"/>
    <n v="11250"/>
    <n v="3750"/>
    <x v="0"/>
  </r>
  <r>
    <s v="ORD025"/>
    <x v="24"/>
    <x v="1"/>
    <x v="7"/>
    <x v="2"/>
    <n v="1"/>
    <n v="8000"/>
    <n v="8000"/>
    <n v="5280"/>
    <n v="2720"/>
    <x v="0"/>
  </r>
  <r>
    <s v="ORD026"/>
    <x v="25"/>
    <x v="0"/>
    <x v="5"/>
    <x v="0"/>
    <n v="1"/>
    <n v="3000"/>
    <n v="3000"/>
    <n v="2340"/>
    <n v="660"/>
    <x v="0"/>
  </r>
  <r>
    <s v="ORD027"/>
    <x v="26"/>
    <x v="2"/>
    <x v="0"/>
    <x v="0"/>
    <n v="2"/>
    <n v="20000"/>
    <n v="40000"/>
    <n v="31200"/>
    <n v="8800"/>
    <x v="0"/>
  </r>
  <r>
    <s v="ORD028"/>
    <x v="27"/>
    <x v="0"/>
    <x v="4"/>
    <x v="0"/>
    <n v="8"/>
    <n v="50000"/>
    <n v="400000"/>
    <n v="336000"/>
    <n v="64000"/>
    <x v="0"/>
  </r>
  <r>
    <s v="ORD029"/>
    <x v="28"/>
    <x v="3"/>
    <x v="1"/>
    <x v="0"/>
    <n v="8"/>
    <n v="15000"/>
    <n v="120000"/>
    <n v="99600"/>
    <n v="20400"/>
    <x v="0"/>
  </r>
  <r>
    <s v="ORD030"/>
    <x v="29"/>
    <x v="3"/>
    <x v="4"/>
    <x v="0"/>
    <n v="10"/>
    <n v="50000"/>
    <n v="500000"/>
    <n v="385000"/>
    <n v="115000"/>
    <x v="1"/>
  </r>
  <r>
    <s v="ORD031"/>
    <x v="30"/>
    <x v="1"/>
    <x v="5"/>
    <x v="0"/>
    <n v="6"/>
    <n v="3000"/>
    <n v="18000"/>
    <n v="12600"/>
    <n v="5400"/>
    <x v="1"/>
  </r>
  <r>
    <s v="ORD032"/>
    <x v="31"/>
    <x v="3"/>
    <x v="6"/>
    <x v="1"/>
    <n v="6"/>
    <n v="10000"/>
    <n v="60000"/>
    <n v="49800"/>
    <n v="10200"/>
    <x v="1"/>
  </r>
  <r>
    <s v="ORD033"/>
    <x v="32"/>
    <x v="2"/>
    <x v="4"/>
    <x v="0"/>
    <n v="7"/>
    <n v="50000"/>
    <n v="350000"/>
    <n v="241500"/>
    <n v="108500"/>
    <x v="1"/>
  </r>
  <r>
    <s v="ORD034"/>
    <x v="33"/>
    <x v="2"/>
    <x v="4"/>
    <x v="0"/>
    <n v="8"/>
    <n v="50000"/>
    <n v="400000"/>
    <n v="272000"/>
    <n v="128000"/>
    <x v="1"/>
  </r>
  <r>
    <s v="ORD035"/>
    <x v="34"/>
    <x v="0"/>
    <x v="0"/>
    <x v="0"/>
    <n v="9"/>
    <n v="20000"/>
    <n v="180000"/>
    <n v="144000"/>
    <n v="36000"/>
    <x v="1"/>
  </r>
  <r>
    <s v="ORD036"/>
    <x v="35"/>
    <x v="0"/>
    <x v="3"/>
    <x v="2"/>
    <n v="3"/>
    <n v="500"/>
    <n v="1500"/>
    <n v="1110"/>
    <n v="390"/>
    <x v="1"/>
  </r>
  <r>
    <s v="ORD037"/>
    <x v="36"/>
    <x v="2"/>
    <x v="5"/>
    <x v="0"/>
    <n v="4"/>
    <n v="3000"/>
    <n v="12000"/>
    <n v="8760"/>
    <n v="3240"/>
    <x v="1"/>
  </r>
  <r>
    <s v="ORD038"/>
    <x v="37"/>
    <x v="3"/>
    <x v="7"/>
    <x v="2"/>
    <n v="3"/>
    <n v="8000"/>
    <n v="24000"/>
    <n v="18960"/>
    <n v="5040"/>
    <x v="1"/>
  </r>
  <r>
    <s v="ORD039"/>
    <x v="38"/>
    <x v="2"/>
    <x v="2"/>
    <x v="1"/>
    <n v="3"/>
    <n v="5000"/>
    <n v="15000"/>
    <n v="11100"/>
    <n v="3900"/>
    <x v="1"/>
  </r>
  <r>
    <s v="ORD040"/>
    <x v="39"/>
    <x v="3"/>
    <x v="1"/>
    <x v="0"/>
    <n v="2"/>
    <n v="15000"/>
    <n v="30000"/>
    <n v="22200"/>
    <n v="7800"/>
    <x v="1"/>
  </r>
  <r>
    <s v="ORD041"/>
    <x v="40"/>
    <x v="1"/>
    <x v="0"/>
    <x v="0"/>
    <n v="5"/>
    <n v="20000"/>
    <n v="100000"/>
    <n v="69000"/>
    <n v="31000"/>
    <x v="1"/>
  </r>
  <r>
    <s v="ORD042"/>
    <x v="41"/>
    <x v="1"/>
    <x v="3"/>
    <x v="2"/>
    <n v="8"/>
    <n v="500"/>
    <n v="4000"/>
    <n v="2640"/>
    <n v="1360"/>
    <x v="1"/>
  </r>
  <r>
    <s v="ORD043"/>
    <x v="42"/>
    <x v="3"/>
    <x v="5"/>
    <x v="0"/>
    <n v="8"/>
    <n v="3000"/>
    <n v="24000"/>
    <n v="18240"/>
    <n v="5760"/>
    <x v="1"/>
  </r>
  <r>
    <s v="ORD044"/>
    <x v="43"/>
    <x v="2"/>
    <x v="1"/>
    <x v="0"/>
    <n v="2"/>
    <n v="15000"/>
    <n v="30000"/>
    <n v="21300"/>
    <n v="8700"/>
    <x v="1"/>
  </r>
  <r>
    <s v="ORD045"/>
    <x v="44"/>
    <x v="3"/>
    <x v="4"/>
    <x v="0"/>
    <n v="7"/>
    <n v="50000"/>
    <n v="350000"/>
    <n v="280000"/>
    <n v="70000"/>
    <x v="1"/>
  </r>
  <r>
    <s v="ORD046"/>
    <x v="45"/>
    <x v="0"/>
    <x v="3"/>
    <x v="2"/>
    <n v="9"/>
    <n v="500"/>
    <n v="4500"/>
    <n v="3060"/>
    <n v="1440"/>
    <x v="1"/>
  </r>
  <r>
    <s v="ORD047"/>
    <x v="46"/>
    <x v="0"/>
    <x v="3"/>
    <x v="2"/>
    <n v="1"/>
    <n v="500"/>
    <n v="500"/>
    <n v="325"/>
    <n v="175"/>
    <x v="1"/>
  </r>
  <r>
    <s v="ORD048"/>
    <x v="47"/>
    <x v="1"/>
    <x v="1"/>
    <x v="0"/>
    <n v="7"/>
    <n v="15000"/>
    <n v="105000"/>
    <n v="89250"/>
    <n v="15750"/>
    <x v="1"/>
  </r>
  <r>
    <s v="ORD049"/>
    <x v="48"/>
    <x v="3"/>
    <x v="6"/>
    <x v="1"/>
    <n v="9"/>
    <n v="10000"/>
    <n v="90000"/>
    <n v="62100"/>
    <n v="27900"/>
    <x v="1"/>
  </r>
  <r>
    <s v="ORD050"/>
    <x v="49"/>
    <x v="3"/>
    <x v="7"/>
    <x v="2"/>
    <n v="4"/>
    <n v="8000"/>
    <n v="32000"/>
    <n v="25280"/>
    <n v="6720"/>
    <x v="1"/>
  </r>
  <r>
    <s v="ORD051"/>
    <x v="50"/>
    <x v="1"/>
    <x v="1"/>
    <x v="0"/>
    <n v="1"/>
    <n v="15000"/>
    <n v="15000"/>
    <n v="12000"/>
    <n v="3000"/>
    <x v="1"/>
  </r>
  <r>
    <s v="ORD052"/>
    <x v="51"/>
    <x v="1"/>
    <x v="2"/>
    <x v="1"/>
    <n v="8"/>
    <n v="5000"/>
    <n v="40000"/>
    <n v="27600"/>
    <n v="12400"/>
    <x v="1"/>
  </r>
  <r>
    <s v="ORD053"/>
    <x v="52"/>
    <x v="1"/>
    <x v="5"/>
    <x v="0"/>
    <n v="6"/>
    <n v="3000"/>
    <n v="18000"/>
    <n v="15120"/>
    <n v="2880"/>
    <x v="1"/>
  </r>
  <r>
    <s v="ORD054"/>
    <x v="53"/>
    <x v="3"/>
    <x v="1"/>
    <x v="0"/>
    <n v="3"/>
    <n v="15000"/>
    <n v="45000"/>
    <n v="34200"/>
    <n v="10800"/>
    <x v="1"/>
  </r>
  <r>
    <s v="ORD055"/>
    <x v="54"/>
    <x v="1"/>
    <x v="4"/>
    <x v="0"/>
    <n v="3"/>
    <n v="50000"/>
    <n v="150000"/>
    <n v="127500"/>
    <n v="22500"/>
    <x v="1"/>
  </r>
  <r>
    <s v="ORD056"/>
    <x v="55"/>
    <x v="3"/>
    <x v="4"/>
    <x v="0"/>
    <n v="6"/>
    <n v="50000"/>
    <n v="300000"/>
    <n v="225000"/>
    <n v="75000"/>
    <x v="1"/>
  </r>
  <r>
    <s v="ORD057"/>
    <x v="56"/>
    <x v="2"/>
    <x v="4"/>
    <x v="0"/>
    <n v="7"/>
    <n v="50000"/>
    <n v="350000"/>
    <n v="266000"/>
    <n v="84000"/>
    <x v="1"/>
  </r>
  <r>
    <s v="ORD058"/>
    <x v="57"/>
    <x v="0"/>
    <x v="4"/>
    <x v="0"/>
    <n v="9"/>
    <n v="50000"/>
    <n v="450000"/>
    <n v="297000"/>
    <n v="153000"/>
    <x v="1"/>
  </r>
  <r>
    <s v="ORD059"/>
    <x v="58"/>
    <x v="1"/>
    <x v="3"/>
    <x v="2"/>
    <n v="6"/>
    <n v="500"/>
    <n v="3000"/>
    <n v="2550"/>
    <n v="450"/>
    <x v="1"/>
  </r>
  <r>
    <s v="ORD060"/>
    <x v="59"/>
    <x v="2"/>
    <x v="6"/>
    <x v="1"/>
    <n v="3"/>
    <n v="10000"/>
    <n v="30000"/>
    <n v="21000"/>
    <n v="9000"/>
    <x v="2"/>
  </r>
  <r>
    <s v="ORD061"/>
    <x v="60"/>
    <x v="3"/>
    <x v="5"/>
    <x v="0"/>
    <n v="7"/>
    <n v="3000"/>
    <n v="21000"/>
    <n v="13650"/>
    <n v="7350"/>
    <x v="2"/>
  </r>
  <r>
    <s v="ORD062"/>
    <x v="61"/>
    <x v="2"/>
    <x v="1"/>
    <x v="0"/>
    <n v="7"/>
    <n v="15000"/>
    <n v="105000"/>
    <n v="88200"/>
    <n v="16800"/>
    <x v="2"/>
  </r>
  <r>
    <s v="ORD063"/>
    <x v="62"/>
    <x v="3"/>
    <x v="4"/>
    <x v="0"/>
    <n v="3"/>
    <n v="50000"/>
    <n v="150000"/>
    <n v="111000"/>
    <n v="39000"/>
    <x v="2"/>
  </r>
  <r>
    <s v="ORD064"/>
    <x v="63"/>
    <x v="3"/>
    <x v="0"/>
    <x v="0"/>
    <n v="10"/>
    <n v="20000"/>
    <n v="200000"/>
    <n v="156000"/>
    <n v="44000"/>
    <x v="2"/>
  </r>
  <r>
    <s v="ORD065"/>
    <x v="64"/>
    <x v="3"/>
    <x v="6"/>
    <x v="1"/>
    <n v="4"/>
    <n v="10000"/>
    <n v="40000"/>
    <n v="30800"/>
    <n v="9200"/>
    <x v="2"/>
  </r>
  <r>
    <s v="ORD066"/>
    <x v="65"/>
    <x v="1"/>
    <x v="5"/>
    <x v="0"/>
    <n v="9"/>
    <n v="3000"/>
    <n v="27000"/>
    <n v="20250"/>
    <n v="6750"/>
    <x v="2"/>
  </r>
  <r>
    <s v="ORD067"/>
    <x v="66"/>
    <x v="3"/>
    <x v="6"/>
    <x v="1"/>
    <n v="5"/>
    <n v="10000"/>
    <n v="50000"/>
    <n v="38500"/>
    <n v="11500"/>
    <x v="2"/>
  </r>
  <r>
    <s v="ORD068"/>
    <x v="67"/>
    <x v="1"/>
    <x v="6"/>
    <x v="1"/>
    <n v="8"/>
    <n v="10000"/>
    <n v="80000"/>
    <n v="67200"/>
    <n v="12800"/>
    <x v="2"/>
  </r>
  <r>
    <s v="ORD069"/>
    <x v="68"/>
    <x v="3"/>
    <x v="5"/>
    <x v="0"/>
    <n v="4"/>
    <n v="3000"/>
    <n v="12000"/>
    <n v="8640"/>
    <n v="3360"/>
    <x v="2"/>
  </r>
  <r>
    <s v="ORD070"/>
    <x v="69"/>
    <x v="3"/>
    <x v="6"/>
    <x v="1"/>
    <n v="8"/>
    <n v="10000"/>
    <n v="80000"/>
    <n v="63200"/>
    <n v="16800"/>
    <x v="2"/>
  </r>
  <r>
    <s v="ORD071"/>
    <x v="70"/>
    <x v="0"/>
    <x v="2"/>
    <x v="1"/>
    <n v="1"/>
    <n v="5000"/>
    <n v="5000"/>
    <n v="3400"/>
    <n v="1600"/>
    <x v="2"/>
  </r>
  <r>
    <s v="ORD072"/>
    <x v="71"/>
    <x v="2"/>
    <x v="7"/>
    <x v="2"/>
    <n v="2"/>
    <n v="8000"/>
    <n v="16000"/>
    <n v="11680"/>
    <n v="4320"/>
    <x v="2"/>
  </r>
  <r>
    <s v="ORD073"/>
    <x v="72"/>
    <x v="3"/>
    <x v="4"/>
    <x v="0"/>
    <n v="7"/>
    <n v="50000"/>
    <n v="350000"/>
    <n v="245000"/>
    <n v="105000"/>
    <x v="2"/>
  </r>
  <r>
    <s v="ORD074"/>
    <x v="73"/>
    <x v="3"/>
    <x v="5"/>
    <x v="0"/>
    <n v="4"/>
    <n v="3000"/>
    <n v="12000"/>
    <n v="9240"/>
    <n v="2760"/>
    <x v="2"/>
  </r>
  <r>
    <s v="ORD075"/>
    <x v="74"/>
    <x v="2"/>
    <x v="2"/>
    <x v="1"/>
    <n v="1"/>
    <n v="5000"/>
    <n v="5000"/>
    <n v="3700"/>
    <n v="1300"/>
    <x v="2"/>
  </r>
  <r>
    <s v="ORD076"/>
    <x v="75"/>
    <x v="3"/>
    <x v="1"/>
    <x v="0"/>
    <n v="4"/>
    <n v="15000"/>
    <n v="60000"/>
    <n v="42600"/>
    <n v="17400"/>
    <x v="2"/>
  </r>
  <r>
    <s v="ORD077"/>
    <x v="76"/>
    <x v="1"/>
    <x v="0"/>
    <x v="0"/>
    <n v="5"/>
    <n v="20000"/>
    <n v="100000"/>
    <n v="77000"/>
    <n v="23000"/>
    <x v="2"/>
  </r>
  <r>
    <s v="ORD078"/>
    <x v="77"/>
    <x v="2"/>
    <x v="6"/>
    <x v="1"/>
    <n v="8"/>
    <n v="10000"/>
    <n v="80000"/>
    <n v="57600"/>
    <n v="22400"/>
    <x v="2"/>
  </r>
  <r>
    <s v="ORD079"/>
    <x v="78"/>
    <x v="2"/>
    <x v="2"/>
    <x v="1"/>
    <n v="10"/>
    <n v="5000"/>
    <n v="50000"/>
    <n v="37500"/>
    <n v="12500"/>
    <x v="2"/>
  </r>
  <r>
    <s v="ORD080"/>
    <x v="79"/>
    <x v="2"/>
    <x v="5"/>
    <x v="0"/>
    <n v="7"/>
    <n v="3000"/>
    <n v="21000"/>
    <n v="14910"/>
    <n v="6090"/>
    <x v="2"/>
  </r>
  <r>
    <s v="ORD081"/>
    <x v="80"/>
    <x v="1"/>
    <x v="3"/>
    <x v="2"/>
    <n v="5"/>
    <n v="500"/>
    <n v="2500"/>
    <n v="1900"/>
    <n v="600"/>
    <x v="2"/>
  </r>
  <r>
    <s v="ORD082"/>
    <x v="81"/>
    <x v="1"/>
    <x v="3"/>
    <x v="2"/>
    <n v="1"/>
    <n v="500"/>
    <n v="500"/>
    <n v="345"/>
    <n v="155"/>
    <x v="2"/>
  </r>
  <r>
    <s v="ORD083"/>
    <x v="82"/>
    <x v="0"/>
    <x v="4"/>
    <x v="0"/>
    <n v="10"/>
    <n v="50000"/>
    <n v="500000"/>
    <n v="385000"/>
    <n v="115000"/>
    <x v="2"/>
  </r>
  <r>
    <s v="ORD084"/>
    <x v="83"/>
    <x v="0"/>
    <x v="2"/>
    <x v="1"/>
    <n v="4"/>
    <n v="5000"/>
    <n v="20000"/>
    <n v="15400"/>
    <n v="4600"/>
    <x v="2"/>
  </r>
  <r>
    <s v="ORD085"/>
    <x v="84"/>
    <x v="2"/>
    <x v="3"/>
    <x v="2"/>
    <n v="5"/>
    <n v="500"/>
    <n v="2500"/>
    <n v="1725"/>
    <n v="775"/>
    <x v="2"/>
  </r>
  <r>
    <s v="ORD086"/>
    <x v="85"/>
    <x v="3"/>
    <x v="1"/>
    <x v="0"/>
    <n v="2"/>
    <n v="15000"/>
    <n v="30000"/>
    <n v="21600"/>
    <n v="8400"/>
    <x v="2"/>
  </r>
  <r>
    <s v="ORD087"/>
    <x v="86"/>
    <x v="2"/>
    <x v="6"/>
    <x v="1"/>
    <n v="5"/>
    <n v="10000"/>
    <n v="50000"/>
    <n v="35500"/>
    <n v="14500"/>
    <x v="2"/>
  </r>
  <r>
    <s v="ORD088"/>
    <x v="87"/>
    <x v="2"/>
    <x v="3"/>
    <x v="2"/>
    <n v="7"/>
    <n v="500"/>
    <n v="3500"/>
    <n v="2415"/>
    <n v="1085"/>
    <x v="2"/>
  </r>
  <r>
    <s v="ORD089"/>
    <x v="88"/>
    <x v="0"/>
    <x v="1"/>
    <x v="0"/>
    <n v="7"/>
    <n v="15000"/>
    <n v="105000"/>
    <n v="81900"/>
    <n v="23100"/>
    <x v="2"/>
  </r>
  <r>
    <s v="ORD090"/>
    <x v="89"/>
    <x v="0"/>
    <x v="0"/>
    <x v="0"/>
    <n v="7"/>
    <n v="20000"/>
    <n v="140000"/>
    <n v="106400"/>
    <n v="33600"/>
    <x v="2"/>
  </r>
  <r>
    <s v="ORD091"/>
    <x v="90"/>
    <x v="0"/>
    <x v="0"/>
    <x v="0"/>
    <n v="9"/>
    <n v="20000"/>
    <n v="180000"/>
    <n v="144000"/>
    <n v="36000"/>
    <x v="3"/>
  </r>
  <r>
    <s v="ORD092"/>
    <x v="91"/>
    <x v="2"/>
    <x v="6"/>
    <x v="1"/>
    <n v="2"/>
    <n v="10000"/>
    <n v="20000"/>
    <n v="15800"/>
    <n v="4200"/>
    <x v="3"/>
  </r>
  <r>
    <s v="ORD093"/>
    <x v="92"/>
    <x v="0"/>
    <x v="7"/>
    <x v="2"/>
    <n v="9"/>
    <n v="8000"/>
    <n v="72000"/>
    <n v="56160"/>
    <n v="15840"/>
    <x v="3"/>
  </r>
  <r>
    <s v="ORD094"/>
    <x v="93"/>
    <x v="0"/>
    <x v="0"/>
    <x v="0"/>
    <n v="4"/>
    <n v="20000"/>
    <n v="80000"/>
    <n v="57600"/>
    <n v="22400"/>
    <x v="3"/>
  </r>
  <r>
    <s v="ORD095"/>
    <x v="94"/>
    <x v="1"/>
    <x v="4"/>
    <x v="0"/>
    <n v="3"/>
    <n v="50000"/>
    <n v="150000"/>
    <n v="111000"/>
    <n v="39000"/>
    <x v="3"/>
  </r>
  <r>
    <s v="ORD096"/>
    <x v="95"/>
    <x v="0"/>
    <x v="1"/>
    <x v="0"/>
    <n v="9"/>
    <n v="15000"/>
    <n v="135000"/>
    <n v="97200"/>
    <n v="37800"/>
    <x v="3"/>
  </r>
  <r>
    <s v="ORD097"/>
    <x v="96"/>
    <x v="2"/>
    <x v="2"/>
    <x v="1"/>
    <n v="8"/>
    <n v="5000"/>
    <n v="40000"/>
    <n v="31600"/>
    <n v="8400"/>
    <x v="3"/>
  </r>
  <r>
    <s v="ORD098"/>
    <x v="97"/>
    <x v="1"/>
    <x v="2"/>
    <x v="1"/>
    <n v="9"/>
    <n v="5000"/>
    <n v="45000"/>
    <n v="32400"/>
    <n v="12600"/>
    <x v="3"/>
  </r>
  <r>
    <s v="ORD099"/>
    <x v="98"/>
    <x v="1"/>
    <x v="4"/>
    <x v="0"/>
    <n v="4"/>
    <n v="50000"/>
    <n v="200000"/>
    <n v="166000"/>
    <n v="34000"/>
    <x v="3"/>
  </r>
  <r>
    <s v="ORD100"/>
    <x v="99"/>
    <x v="0"/>
    <x v="6"/>
    <x v="1"/>
    <n v="5"/>
    <n v="10000"/>
    <n v="50000"/>
    <n v="39500"/>
    <n v="10500"/>
    <x v="3"/>
  </r>
  <r>
    <s v="ORD101"/>
    <x v="100"/>
    <x v="2"/>
    <x v="3"/>
    <x v="2"/>
    <n v="7"/>
    <n v="500"/>
    <n v="3500"/>
    <n v="2415"/>
    <n v="1085"/>
    <x v="3"/>
  </r>
  <r>
    <s v="ORD102"/>
    <x v="101"/>
    <x v="0"/>
    <x v="2"/>
    <x v="1"/>
    <n v="1"/>
    <n v="5000"/>
    <n v="5000"/>
    <n v="3350"/>
    <n v="1650"/>
    <x v="3"/>
  </r>
  <r>
    <s v="ORD103"/>
    <x v="102"/>
    <x v="1"/>
    <x v="4"/>
    <x v="0"/>
    <n v="4"/>
    <n v="50000"/>
    <n v="200000"/>
    <n v="146000"/>
    <n v="54000"/>
    <x v="3"/>
  </r>
  <r>
    <s v="ORD104"/>
    <x v="103"/>
    <x v="2"/>
    <x v="2"/>
    <x v="1"/>
    <n v="5"/>
    <n v="5000"/>
    <n v="25000"/>
    <n v="17000"/>
    <n v="8000"/>
    <x v="3"/>
  </r>
  <r>
    <s v="ORD105"/>
    <x v="104"/>
    <x v="1"/>
    <x v="2"/>
    <x v="1"/>
    <n v="3"/>
    <n v="5000"/>
    <n v="15000"/>
    <n v="11100"/>
    <n v="3900"/>
    <x v="3"/>
  </r>
  <r>
    <s v="ORD106"/>
    <x v="105"/>
    <x v="0"/>
    <x v="5"/>
    <x v="0"/>
    <n v="8"/>
    <n v="3000"/>
    <n v="24000"/>
    <n v="20160"/>
    <n v="3840"/>
    <x v="3"/>
  </r>
  <r>
    <s v="ORD107"/>
    <x v="106"/>
    <x v="1"/>
    <x v="0"/>
    <x v="0"/>
    <n v="3"/>
    <n v="20000"/>
    <n v="60000"/>
    <n v="50400"/>
    <n v="9600"/>
    <x v="3"/>
  </r>
  <r>
    <s v="ORD108"/>
    <x v="107"/>
    <x v="0"/>
    <x v="1"/>
    <x v="0"/>
    <n v="8"/>
    <n v="15000"/>
    <n v="120000"/>
    <n v="86400"/>
    <n v="33600"/>
    <x v="3"/>
  </r>
  <r>
    <s v="ORD109"/>
    <x v="108"/>
    <x v="3"/>
    <x v="2"/>
    <x v="1"/>
    <n v="1"/>
    <n v="5000"/>
    <n v="5000"/>
    <n v="4000"/>
    <n v="1000"/>
    <x v="3"/>
  </r>
  <r>
    <s v="ORD110"/>
    <x v="109"/>
    <x v="0"/>
    <x v="1"/>
    <x v="0"/>
    <n v="10"/>
    <n v="15000"/>
    <n v="150000"/>
    <n v="121500"/>
    <n v="28500"/>
    <x v="3"/>
  </r>
  <r>
    <s v="ORD111"/>
    <x v="110"/>
    <x v="3"/>
    <x v="4"/>
    <x v="0"/>
    <n v="1"/>
    <n v="50000"/>
    <n v="50000"/>
    <n v="33500"/>
    <n v="16500"/>
    <x v="3"/>
  </r>
  <r>
    <s v="ORD112"/>
    <x v="111"/>
    <x v="1"/>
    <x v="1"/>
    <x v="0"/>
    <n v="5"/>
    <n v="15000"/>
    <n v="75000"/>
    <n v="62250"/>
    <n v="12750"/>
    <x v="3"/>
  </r>
  <r>
    <s v="ORD113"/>
    <x v="112"/>
    <x v="2"/>
    <x v="1"/>
    <x v="0"/>
    <n v="9"/>
    <n v="15000"/>
    <n v="135000"/>
    <n v="98550"/>
    <n v="36450"/>
    <x v="3"/>
  </r>
  <r>
    <s v="ORD114"/>
    <x v="113"/>
    <x v="3"/>
    <x v="3"/>
    <x v="2"/>
    <n v="10"/>
    <n v="500"/>
    <n v="5000"/>
    <n v="3350"/>
    <n v="1650"/>
    <x v="3"/>
  </r>
  <r>
    <s v="ORD115"/>
    <x v="114"/>
    <x v="1"/>
    <x v="7"/>
    <x v="2"/>
    <n v="5"/>
    <n v="8000"/>
    <n v="40000"/>
    <n v="26800"/>
    <n v="13200"/>
    <x v="3"/>
  </r>
  <r>
    <s v="ORD116"/>
    <x v="115"/>
    <x v="1"/>
    <x v="1"/>
    <x v="0"/>
    <n v="4"/>
    <n v="15000"/>
    <n v="60000"/>
    <n v="43200"/>
    <n v="16800"/>
    <x v="3"/>
  </r>
  <r>
    <s v="ORD117"/>
    <x v="116"/>
    <x v="1"/>
    <x v="5"/>
    <x v="0"/>
    <n v="6"/>
    <n v="3000"/>
    <n v="18000"/>
    <n v="14940"/>
    <n v="3060"/>
    <x v="3"/>
  </r>
  <r>
    <s v="ORD118"/>
    <x v="117"/>
    <x v="1"/>
    <x v="5"/>
    <x v="0"/>
    <n v="4"/>
    <n v="3000"/>
    <n v="12000"/>
    <n v="8640"/>
    <n v="3360"/>
    <x v="3"/>
  </r>
  <r>
    <s v="ORD119"/>
    <x v="118"/>
    <x v="2"/>
    <x v="6"/>
    <x v="1"/>
    <n v="6"/>
    <n v="10000"/>
    <n v="60000"/>
    <n v="51000"/>
    <n v="9000"/>
    <x v="3"/>
  </r>
  <r>
    <s v="ORD120"/>
    <x v="119"/>
    <x v="2"/>
    <x v="4"/>
    <x v="0"/>
    <n v="8"/>
    <n v="50000"/>
    <n v="400000"/>
    <n v="268000"/>
    <n v="132000"/>
    <x v="3"/>
  </r>
  <r>
    <s v="ORD121"/>
    <x v="120"/>
    <x v="0"/>
    <x v="6"/>
    <x v="1"/>
    <n v="6"/>
    <n v="10000"/>
    <n v="60000"/>
    <n v="45000"/>
    <n v="15000"/>
    <x v="3"/>
  </r>
  <r>
    <s v="ORD122"/>
    <x v="121"/>
    <x v="2"/>
    <x v="1"/>
    <x v="0"/>
    <n v="5"/>
    <n v="15000"/>
    <n v="75000"/>
    <n v="53250"/>
    <n v="21750"/>
    <x v="4"/>
  </r>
  <r>
    <s v="ORD123"/>
    <x v="122"/>
    <x v="1"/>
    <x v="5"/>
    <x v="0"/>
    <n v="5"/>
    <n v="3000"/>
    <n v="15000"/>
    <n v="10950"/>
    <n v="4050"/>
    <x v="4"/>
  </r>
  <r>
    <s v="ORD124"/>
    <x v="123"/>
    <x v="2"/>
    <x v="4"/>
    <x v="0"/>
    <n v="7"/>
    <n v="50000"/>
    <n v="350000"/>
    <n v="273000"/>
    <n v="77000"/>
    <x v="4"/>
  </r>
  <r>
    <s v="ORD125"/>
    <x v="124"/>
    <x v="2"/>
    <x v="2"/>
    <x v="1"/>
    <n v="3"/>
    <n v="5000"/>
    <n v="15000"/>
    <n v="10650"/>
    <n v="4350"/>
    <x v="4"/>
  </r>
  <r>
    <s v="ORD126"/>
    <x v="125"/>
    <x v="0"/>
    <x v="0"/>
    <x v="0"/>
    <n v="5"/>
    <n v="20000"/>
    <n v="100000"/>
    <n v="66000"/>
    <n v="34000"/>
    <x v="4"/>
  </r>
  <r>
    <s v="ORD127"/>
    <x v="126"/>
    <x v="3"/>
    <x v="4"/>
    <x v="0"/>
    <n v="7"/>
    <n v="50000"/>
    <n v="350000"/>
    <n v="297500"/>
    <n v="52500"/>
    <x v="4"/>
  </r>
  <r>
    <s v="ORD128"/>
    <x v="127"/>
    <x v="2"/>
    <x v="2"/>
    <x v="1"/>
    <n v="9"/>
    <n v="5000"/>
    <n v="45000"/>
    <n v="37350"/>
    <n v="7650"/>
    <x v="4"/>
  </r>
  <r>
    <s v="ORD129"/>
    <x v="128"/>
    <x v="0"/>
    <x v="5"/>
    <x v="0"/>
    <n v="6"/>
    <n v="3000"/>
    <n v="18000"/>
    <n v="11880"/>
    <n v="6120"/>
    <x v="4"/>
  </r>
  <r>
    <s v="ORD130"/>
    <x v="129"/>
    <x v="1"/>
    <x v="6"/>
    <x v="1"/>
    <n v="10"/>
    <n v="10000"/>
    <n v="100000"/>
    <n v="71000"/>
    <n v="29000"/>
    <x v="4"/>
  </r>
  <r>
    <s v="ORD131"/>
    <x v="130"/>
    <x v="1"/>
    <x v="3"/>
    <x v="2"/>
    <n v="7"/>
    <n v="500"/>
    <n v="3500"/>
    <n v="2625"/>
    <n v="875"/>
    <x v="4"/>
  </r>
  <r>
    <s v="ORD132"/>
    <x v="131"/>
    <x v="3"/>
    <x v="4"/>
    <x v="0"/>
    <n v="9"/>
    <n v="50000"/>
    <n v="450000"/>
    <n v="306000"/>
    <n v="144000"/>
    <x v="4"/>
  </r>
  <r>
    <s v="ORD133"/>
    <x v="132"/>
    <x v="0"/>
    <x v="4"/>
    <x v="0"/>
    <n v="6"/>
    <n v="50000"/>
    <n v="300000"/>
    <n v="201000"/>
    <n v="99000"/>
    <x v="4"/>
  </r>
  <r>
    <s v="ORD134"/>
    <x v="133"/>
    <x v="2"/>
    <x v="2"/>
    <x v="1"/>
    <n v="2"/>
    <n v="5000"/>
    <n v="10000"/>
    <n v="6500"/>
    <n v="3500"/>
    <x v="4"/>
  </r>
  <r>
    <s v="ORD135"/>
    <x v="134"/>
    <x v="1"/>
    <x v="3"/>
    <x v="2"/>
    <n v="8"/>
    <n v="500"/>
    <n v="4000"/>
    <n v="3240"/>
    <n v="760"/>
    <x v="4"/>
  </r>
  <r>
    <s v="ORD136"/>
    <x v="135"/>
    <x v="1"/>
    <x v="2"/>
    <x v="1"/>
    <n v="10"/>
    <n v="5000"/>
    <n v="50000"/>
    <n v="41500"/>
    <n v="8500"/>
    <x v="4"/>
  </r>
  <r>
    <s v="ORD137"/>
    <x v="136"/>
    <x v="2"/>
    <x v="4"/>
    <x v="0"/>
    <n v="10"/>
    <n v="50000"/>
    <n v="500000"/>
    <n v="385000"/>
    <n v="115000"/>
    <x v="4"/>
  </r>
  <r>
    <s v="ORD138"/>
    <x v="137"/>
    <x v="3"/>
    <x v="0"/>
    <x v="0"/>
    <n v="2"/>
    <n v="20000"/>
    <n v="40000"/>
    <n v="28400"/>
    <n v="11600"/>
    <x v="4"/>
  </r>
  <r>
    <s v="ORD139"/>
    <x v="138"/>
    <x v="2"/>
    <x v="6"/>
    <x v="1"/>
    <n v="8"/>
    <n v="10000"/>
    <n v="80000"/>
    <n v="66400"/>
    <n v="13600"/>
    <x v="4"/>
  </r>
  <r>
    <s v="ORD140"/>
    <x v="139"/>
    <x v="2"/>
    <x v="4"/>
    <x v="0"/>
    <n v="8"/>
    <n v="50000"/>
    <n v="400000"/>
    <n v="316000"/>
    <n v="84000"/>
    <x v="4"/>
  </r>
  <r>
    <s v="ORD141"/>
    <x v="140"/>
    <x v="2"/>
    <x v="3"/>
    <x v="2"/>
    <n v="10"/>
    <n v="500"/>
    <n v="5000"/>
    <n v="3700"/>
    <n v="1300"/>
    <x v="4"/>
  </r>
  <r>
    <s v="ORD142"/>
    <x v="141"/>
    <x v="0"/>
    <x v="3"/>
    <x v="2"/>
    <n v="9"/>
    <n v="500"/>
    <n v="4500"/>
    <n v="2925"/>
    <n v="1575"/>
    <x v="4"/>
  </r>
  <r>
    <s v="ORD143"/>
    <x v="142"/>
    <x v="2"/>
    <x v="4"/>
    <x v="0"/>
    <n v="9"/>
    <n v="50000"/>
    <n v="450000"/>
    <n v="364500"/>
    <n v="85500"/>
    <x v="4"/>
  </r>
  <r>
    <s v="ORD144"/>
    <x v="143"/>
    <x v="1"/>
    <x v="5"/>
    <x v="0"/>
    <n v="6"/>
    <n v="3000"/>
    <n v="18000"/>
    <n v="13140"/>
    <n v="4860"/>
    <x v="4"/>
  </r>
  <r>
    <s v="ORD145"/>
    <x v="144"/>
    <x v="1"/>
    <x v="0"/>
    <x v="0"/>
    <n v="4"/>
    <n v="20000"/>
    <n v="80000"/>
    <n v="56000"/>
    <n v="24000"/>
    <x v="4"/>
  </r>
  <r>
    <s v="ORD146"/>
    <x v="145"/>
    <x v="2"/>
    <x v="2"/>
    <x v="1"/>
    <n v="8"/>
    <n v="5000"/>
    <n v="40000"/>
    <n v="34000"/>
    <n v="6000"/>
    <x v="4"/>
  </r>
  <r>
    <s v="ORD147"/>
    <x v="146"/>
    <x v="0"/>
    <x v="6"/>
    <x v="1"/>
    <n v="8"/>
    <n v="10000"/>
    <n v="80000"/>
    <n v="57600"/>
    <n v="22400"/>
    <x v="4"/>
  </r>
  <r>
    <s v="ORD148"/>
    <x v="147"/>
    <x v="2"/>
    <x v="5"/>
    <x v="0"/>
    <n v="9"/>
    <n v="3000"/>
    <n v="27000"/>
    <n v="22410"/>
    <n v="4590"/>
    <x v="4"/>
  </r>
  <r>
    <s v="ORD149"/>
    <x v="148"/>
    <x v="2"/>
    <x v="4"/>
    <x v="0"/>
    <n v="5"/>
    <n v="50000"/>
    <n v="250000"/>
    <n v="185000"/>
    <n v="65000"/>
    <x v="4"/>
  </r>
  <r>
    <s v="ORD150"/>
    <x v="149"/>
    <x v="3"/>
    <x v="3"/>
    <x v="2"/>
    <n v="5"/>
    <n v="500"/>
    <n v="2500"/>
    <n v="1925"/>
    <n v="575"/>
    <x v="5"/>
  </r>
  <r>
    <s v="ORD151"/>
    <x v="150"/>
    <x v="0"/>
    <x v="2"/>
    <x v="1"/>
    <n v="9"/>
    <n v="5000"/>
    <n v="45000"/>
    <n v="30150"/>
    <n v="14850"/>
    <x v="5"/>
  </r>
  <r>
    <s v="ORD152"/>
    <x v="151"/>
    <x v="1"/>
    <x v="3"/>
    <x v="2"/>
    <n v="9"/>
    <n v="500"/>
    <n v="4500"/>
    <n v="3510"/>
    <n v="990"/>
    <x v="5"/>
  </r>
  <r>
    <s v="ORD153"/>
    <x v="152"/>
    <x v="1"/>
    <x v="2"/>
    <x v="1"/>
    <n v="4"/>
    <n v="5000"/>
    <n v="20000"/>
    <n v="13400"/>
    <n v="6600"/>
    <x v="5"/>
  </r>
  <r>
    <s v="ORD154"/>
    <x v="153"/>
    <x v="2"/>
    <x v="3"/>
    <x v="2"/>
    <n v="6"/>
    <n v="500"/>
    <n v="3000"/>
    <n v="2490"/>
    <n v="510"/>
    <x v="5"/>
  </r>
  <r>
    <s v="ORD155"/>
    <x v="154"/>
    <x v="2"/>
    <x v="1"/>
    <x v="0"/>
    <n v="9"/>
    <n v="15000"/>
    <n v="135000"/>
    <n v="99900"/>
    <n v="35100"/>
    <x v="5"/>
  </r>
  <r>
    <s v="ORD156"/>
    <x v="155"/>
    <x v="3"/>
    <x v="0"/>
    <x v="0"/>
    <n v="8"/>
    <n v="20000"/>
    <n v="160000"/>
    <n v="107200"/>
    <n v="52800"/>
    <x v="5"/>
  </r>
  <r>
    <s v="ORD157"/>
    <x v="156"/>
    <x v="0"/>
    <x v="4"/>
    <x v="0"/>
    <n v="7"/>
    <n v="50000"/>
    <n v="350000"/>
    <n v="294000"/>
    <n v="56000"/>
    <x v="5"/>
  </r>
  <r>
    <s v="ORD158"/>
    <x v="157"/>
    <x v="1"/>
    <x v="3"/>
    <x v="2"/>
    <n v="7"/>
    <n v="500"/>
    <n v="3500"/>
    <n v="2975"/>
    <n v="525"/>
    <x v="5"/>
  </r>
  <r>
    <s v="ORD159"/>
    <x v="158"/>
    <x v="2"/>
    <x v="7"/>
    <x v="2"/>
    <n v="9"/>
    <n v="8000"/>
    <n v="72000"/>
    <n v="56880"/>
    <n v="15120"/>
    <x v="5"/>
  </r>
  <r>
    <s v="ORD160"/>
    <x v="159"/>
    <x v="2"/>
    <x v="4"/>
    <x v="0"/>
    <n v="8"/>
    <n v="50000"/>
    <n v="400000"/>
    <n v="308000"/>
    <n v="92000"/>
    <x v="5"/>
  </r>
  <r>
    <s v="ORD161"/>
    <x v="160"/>
    <x v="3"/>
    <x v="3"/>
    <x v="2"/>
    <n v="8"/>
    <n v="500"/>
    <n v="4000"/>
    <n v="2720"/>
    <n v="1280"/>
    <x v="5"/>
  </r>
  <r>
    <s v="ORD162"/>
    <x v="161"/>
    <x v="3"/>
    <x v="6"/>
    <x v="1"/>
    <n v="3"/>
    <n v="10000"/>
    <n v="30000"/>
    <n v="23100"/>
    <n v="6900"/>
    <x v="5"/>
  </r>
  <r>
    <s v="ORD163"/>
    <x v="162"/>
    <x v="3"/>
    <x v="6"/>
    <x v="1"/>
    <n v="10"/>
    <n v="10000"/>
    <n v="100000"/>
    <n v="80000"/>
    <n v="20000"/>
    <x v="5"/>
  </r>
  <r>
    <s v="ORD164"/>
    <x v="163"/>
    <x v="0"/>
    <x v="3"/>
    <x v="2"/>
    <n v="2"/>
    <n v="500"/>
    <n v="1000"/>
    <n v="790"/>
    <n v="210"/>
    <x v="5"/>
  </r>
  <r>
    <s v="ORD165"/>
    <x v="164"/>
    <x v="2"/>
    <x v="3"/>
    <x v="2"/>
    <n v="2"/>
    <n v="500"/>
    <n v="1000"/>
    <n v="820"/>
    <n v="180"/>
    <x v="5"/>
  </r>
  <r>
    <s v="ORD166"/>
    <x v="165"/>
    <x v="2"/>
    <x v="1"/>
    <x v="0"/>
    <n v="9"/>
    <n v="15000"/>
    <n v="135000"/>
    <n v="103950"/>
    <n v="31050"/>
    <x v="5"/>
  </r>
  <r>
    <s v="ORD167"/>
    <x v="166"/>
    <x v="3"/>
    <x v="3"/>
    <x v="2"/>
    <n v="7"/>
    <n v="500"/>
    <n v="3500"/>
    <n v="2345"/>
    <n v="1155"/>
    <x v="5"/>
  </r>
  <r>
    <s v="ORD168"/>
    <x v="167"/>
    <x v="3"/>
    <x v="1"/>
    <x v="0"/>
    <n v="7"/>
    <n v="15000"/>
    <n v="105000"/>
    <n v="74550"/>
    <n v="30450"/>
    <x v="5"/>
  </r>
  <r>
    <s v="ORD169"/>
    <x v="168"/>
    <x v="1"/>
    <x v="7"/>
    <x v="2"/>
    <n v="9"/>
    <n v="8000"/>
    <n v="72000"/>
    <n v="54720"/>
    <n v="17280"/>
    <x v="5"/>
  </r>
  <r>
    <s v="ORD170"/>
    <x v="169"/>
    <x v="1"/>
    <x v="2"/>
    <x v="1"/>
    <n v="3"/>
    <n v="5000"/>
    <n v="15000"/>
    <n v="10950"/>
    <n v="4050"/>
    <x v="5"/>
  </r>
  <r>
    <s v="ORD171"/>
    <x v="170"/>
    <x v="0"/>
    <x v="2"/>
    <x v="1"/>
    <n v="6"/>
    <n v="5000"/>
    <n v="30000"/>
    <n v="25200"/>
    <n v="4800"/>
    <x v="5"/>
  </r>
  <r>
    <s v="ORD172"/>
    <x v="171"/>
    <x v="3"/>
    <x v="6"/>
    <x v="1"/>
    <n v="2"/>
    <n v="10000"/>
    <n v="20000"/>
    <n v="13800"/>
    <n v="6200"/>
    <x v="5"/>
  </r>
  <r>
    <s v="ORD173"/>
    <x v="172"/>
    <x v="2"/>
    <x v="5"/>
    <x v="0"/>
    <n v="2"/>
    <n v="3000"/>
    <n v="6000"/>
    <n v="4200"/>
    <n v="1800"/>
    <x v="5"/>
  </r>
  <r>
    <s v="ORD174"/>
    <x v="173"/>
    <x v="3"/>
    <x v="3"/>
    <x v="2"/>
    <n v="10"/>
    <n v="500"/>
    <n v="5000"/>
    <n v="3900"/>
    <n v="1100"/>
    <x v="5"/>
  </r>
  <r>
    <s v="ORD175"/>
    <x v="174"/>
    <x v="3"/>
    <x v="6"/>
    <x v="1"/>
    <n v="9"/>
    <n v="10000"/>
    <n v="90000"/>
    <n v="60300"/>
    <n v="29700"/>
    <x v="5"/>
  </r>
  <r>
    <s v="ORD176"/>
    <x v="175"/>
    <x v="1"/>
    <x v="0"/>
    <x v="0"/>
    <n v="8"/>
    <n v="20000"/>
    <n v="160000"/>
    <n v="121600"/>
    <n v="38400"/>
    <x v="5"/>
  </r>
  <r>
    <s v="ORD177"/>
    <x v="176"/>
    <x v="2"/>
    <x v="7"/>
    <x v="2"/>
    <n v="10"/>
    <n v="8000"/>
    <n v="80000"/>
    <n v="56000"/>
    <n v="24000"/>
    <x v="5"/>
  </r>
  <r>
    <s v="ORD178"/>
    <x v="177"/>
    <x v="1"/>
    <x v="5"/>
    <x v="0"/>
    <n v="5"/>
    <n v="3000"/>
    <n v="15000"/>
    <n v="9750"/>
    <n v="5250"/>
    <x v="5"/>
  </r>
  <r>
    <s v="ORD179"/>
    <x v="178"/>
    <x v="2"/>
    <x v="6"/>
    <x v="1"/>
    <n v="3"/>
    <n v="10000"/>
    <n v="30000"/>
    <n v="24300"/>
    <n v="5700"/>
    <x v="5"/>
  </r>
  <r>
    <s v="ORD180"/>
    <x v="179"/>
    <x v="1"/>
    <x v="3"/>
    <x v="2"/>
    <n v="3"/>
    <n v="500"/>
    <n v="1500"/>
    <n v="1140"/>
    <n v="360"/>
    <x v="5"/>
  </r>
  <r>
    <s v="ORD181"/>
    <x v="180"/>
    <x v="0"/>
    <x v="5"/>
    <x v="0"/>
    <n v="8"/>
    <n v="3000"/>
    <n v="24000"/>
    <n v="18720"/>
    <n v="5280"/>
    <x v="6"/>
  </r>
  <r>
    <s v="ORD182"/>
    <x v="181"/>
    <x v="3"/>
    <x v="0"/>
    <x v="0"/>
    <n v="8"/>
    <n v="20000"/>
    <n v="160000"/>
    <n v="104000"/>
    <n v="56000"/>
    <x v="6"/>
  </r>
  <r>
    <s v="ORD183"/>
    <x v="182"/>
    <x v="0"/>
    <x v="5"/>
    <x v="0"/>
    <n v="7"/>
    <n v="3000"/>
    <n v="21000"/>
    <n v="15960"/>
    <n v="5040"/>
    <x v="6"/>
  </r>
  <r>
    <s v="ORD184"/>
    <x v="183"/>
    <x v="3"/>
    <x v="4"/>
    <x v="0"/>
    <n v="3"/>
    <n v="50000"/>
    <n v="150000"/>
    <n v="97500"/>
    <n v="52500"/>
    <x v="6"/>
  </r>
  <r>
    <s v="ORD185"/>
    <x v="184"/>
    <x v="2"/>
    <x v="2"/>
    <x v="1"/>
    <n v="7"/>
    <n v="5000"/>
    <n v="35000"/>
    <n v="27300"/>
    <n v="7700"/>
    <x v="6"/>
  </r>
  <r>
    <s v="ORD186"/>
    <x v="185"/>
    <x v="3"/>
    <x v="5"/>
    <x v="0"/>
    <n v="5"/>
    <n v="3000"/>
    <n v="15000"/>
    <n v="12750"/>
    <n v="2250"/>
    <x v="6"/>
  </r>
  <r>
    <s v="ORD187"/>
    <x v="186"/>
    <x v="2"/>
    <x v="1"/>
    <x v="0"/>
    <n v="3"/>
    <n v="15000"/>
    <n v="45000"/>
    <n v="38250"/>
    <n v="6750"/>
    <x v="6"/>
  </r>
  <r>
    <s v="ORD188"/>
    <x v="187"/>
    <x v="0"/>
    <x v="0"/>
    <x v="0"/>
    <n v="1"/>
    <n v="20000"/>
    <n v="20000"/>
    <n v="13200"/>
    <n v="6800"/>
    <x v="6"/>
  </r>
  <r>
    <s v="ORD189"/>
    <x v="188"/>
    <x v="3"/>
    <x v="5"/>
    <x v="0"/>
    <n v="8"/>
    <n v="3000"/>
    <n v="24000"/>
    <n v="19440"/>
    <n v="4560"/>
    <x v="6"/>
  </r>
  <r>
    <s v="ORD190"/>
    <x v="189"/>
    <x v="3"/>
    <x v="0"/>
    <x v="0"/>
    <n v="10"/>
    <n v="20000"/>
    <n v="200000"/>
    <n v="152000"/>
    <n v="48000"/>
    <x v="6"/>
  </r>
  <r>
    <s v="ORD191"/>
    <x v="190"/>
    <x v="0"/>
    <x v="2"/>
    <x v="1"/>
    <n v="9"/>
    <n v="5000"/>
    <n v="45000"/>
    <n v="34650"/>
    <n v="10350"/>
    <x v="6"/>
  </r>
  <r>
    <s v="ORD192"/>
    <x v="191"/>
    <x v="3"/>
    <x v="3"/>
    <x v="2"/>
    <n v="5"/>
    <n v="500"/>
    <n v="2500"/>
    <n v="2000"/>
    <n v="500"/>
    <x v="6"/>
  </r>
  <r>
    <s v="ORD193"/>
    <x v="192"/>
    <x v="0"/>
    <x v="6"/>
    <x v="1"/>
    <n v="3"/>
    <n v="10000"/>
    <n v="30000"/>
    <n v="21300"/>
    <n v="8700"/>
    <x v="6"/>
  </r>
  <r>
    <s v="ORD194"/>
    <x v="193"/>
    <x v="0"/>
    <x v="4"/>
    <x v="0"/>
    <n v="3"/>
    <n v="50000"/>
    <n v="150000"/>
    <n v="109500"/>
    <n v="40500"/>
    <x v="6"/>
  </r>
  <r>
    <s v="ORD195"/>
    <x v="194"/>
    <x v="2"/>
    <x v="6"/>
    <x v="1"/>
    <n v="7"/>
    <n v="10000"/>
    <n v="70000"/>
    <n v="56700"/>
    <n v="13300"/>
    <x v="6"/>
  </r>
  <r>
    <s v="ORD196"/>
    <x v="195"/>
    <x v="1"/>
    <x v="5"/>
    <x v="0"/>
    <n v="3"/>
    <n v="3000"/>
    <n v="9000"/>
    <n v="7020"/>
    <n v="1980"/>
    <x v="6"/>
  </r>
  <r>
    <s v="ORD197"/>
    <x v="196"/>
    <x v="0"/>
    <x v="1"/>
    <x v="0"/>
    <n v="9"/>
    <n v="15000"/>
    <n v="135000"/>
    <n v="105300"/>
    <n v="29700"/>
    <x v="6"/>
  </r>
  <r>
    <s v="ORD198"/>
    <x v="197"/>
    <x v="1"/>
    <x v="2"/>
    <x v="1"/>
    <n v="6"/>
    <n v="5000"/>
    <n v="30000"/>
    <n v="22500"/>
    <n v="7500"/>
    <x v="6"/>
  </r>
  <r>
    <s v="ORD199"/>
    <x v="198"/>
    <x v="3"/>
    <x v="2"/>
    <x v="1"/>
    <n v="1"/>
    <n v="5000"/>
    <n v="5000"/>
    <n v="4250"/>
    <n v="750"/>
    <x v="6"/>
  </r>
  <r>
    <s v="ORD200"/>
    <x v="199"/>
    <x v="1"/>
    <x v="6"/>
    <x v="1"/>
    <n v="4"/>
    <n v="10000"/>
    <n v="40000"/>
    <n v="31600"/>
    <n v="8400"/>
    <x v="6"/>
  </r>
  <r>
    <s v="ORD201"/>
    <x v="200"/>
    <x v="3"/>
    <x v="1"/>
    <x v="0"/>
    <n v="9"/>
    <n v="15000"/>
    <n v="135000"/>
    <n v="95850"/>
    <n v="39150"/>
    <x v="6"/>
  </r>
  <r>
    <s v="ORD202"/>
    <x v="201"/>
    <x v="3"/>
    <x v="4"/>
    <x v="0"/>
    <n v="8"/>
    <n v="50000"/>
    <n v="400000"/>
    <n v="268000"/>
    <n v="132000"/>
    <x v="6"/>
  </r>
  <r>
    <s v="ORD203"/>
    <x v="202"/>
    <x v="1"/>
    <x v="6"/>
    <x v="1"/>
    <n v="2"/>
    <n v="10000"/>
    <n v="20000"/>
    <n v="15400"/>
    <n v="4600"/>
    <x v="6"/>
  </r>
  <r>
    <s v="ORD204"/>
    <x v="203"/>
    <x v="2"/>
    <x v="5"/>
    <x v="0"/>
    <n v="3"/>
    <n v="3000"/>
    <n v="9000"/>
    <n v="6660"/>
    <n v="2340"/>
    <x v="6"/>
  </r>
  <r>
    <s v="ORD205"/>
    <x v="204"/>
    <x v="2"/>
    <x v="0"/>
    <x v="0"/>
    <n v="4"/>
    <n v="20000"/>
    <n v="80000"/>
    <n v="61600"/>
    <n v="18400"/>
    <x v="6"/>
  </r>
  <r>
    <s v="ORD206"/>
    <x v="205"/>
    <x v="2"/>
    <x v="2"/>
    <x v="1"/>
    <n v="8"/>
    <n v="5000"/>
    <n v="40000"/>
    <n v="30400"/>
    <n v="9600"/>
    <x v="6"/>
  </r>
  <r>
    <s v="ORD207"/>
    <x v="206"/>
    <x v="1"/>
    <x v="0"/>
    <x v="0"/>
    <n v="9"/>
    <n v="20000"/>
    <n v="180000"/>
    <n v="131400"/>
    <n v="48600"/>
    <x v="6"/>
  </r>
  <r>
    <s v="ORD208"/>
    <x v="207"/>
    <x v="3"/>
    <x v="5"/>
    <x v="0"/>
    <n v="2"/>
    <n v="3000"/>
    <n v="6000"/>
    <n v="4020"/>
    <n v="1980"/>
    <x v="6"/>
  </r>
  <r>
    <s v="ORD209"/>
    <x v="208"/>
    <x v="2"/>
    <x v="2"/>
    <x v="1"/>
    <n v="10"/>
    <n v="5000"/>
    <n v="50000"/>
    <n v="42500"/>
    <n v="7500"/>
    <x v="6"/>
  </r>
  <r>
    <s v="ORD210"/>
    <x v="209"/>
    <x v="0"/>
    <x v="4"/>
    <x v="0"/>
    <n v="2"/>
    <n v="50000"/>
    <n v="100000"/>
    <n v="72000"/>
    <n v="28000"/>
    <x v="6"/>
  </r>
  <r>
    <s v="ORD211"/>
    <x v="210"/>
    <x v="2"/>
    <x v="3"/>
    <x v="2"/>
    <n v="6"/>
    <n v="500"/>
    <n v="3000"/>
    <n v="1950"/>
    <n v="1050"/>
    <x v="7"/>
  </r>
  <r>
    <s v="ORD212"/>
    <x v="211"/>
    <x v="0"/>
    <x v="3"/>
    <x v="2"/>
    <n v="5"/>
    <n v="500"/>
    <n v="2500"/>
    <n v="1750"/>
    <n v="750"/>
    <x v="7"/>
  </r>
  <r>
    <s v="ORD213"/>
    <x v="212"/>
    <x v="3"/>
    <x v="3"/>
    <x v="2"/>
    <n v="7"/>
    <n v="500"/>
    <n v="3500"/>
    <n v="2590"/>
    <n v="910"/>
    <x v="7"/>
  </r>
  <r>
    <s v="ORD214"/>
    <x v="213"/>
    <x v="2"/>
    <x v="6"/>
    <x v="1"/>
    <n v="7"/>
    <n v="10000"/>
    <n v="70000"/>
    <n v="48300"/>
    <n v="21700"/>
    <x v="7"/>
  </r>
  <r>
    <s v="ORD215"/>
    <x v="214"/>
    <x v="3"/>
    <x v="0"/>
    <x v="0"/>
    <n v="10"/>
    <n v="20000"/>
    <n v="200000"/>
    <n v="160000"/>
    <n v="40000"/>
    <x v="7"/>
  </r>
  <r>
    <s v="ORD216"/>
    <x v="215"/>
    <x v="2"/>
    <x v="0"/>
    <x v="0"/>
    <n v="3"/>
    <n v="20000"/>
    <n v="60000"/>
    <n v="40200"/>
    <n v="19800"/>
    <x v="7"/>
  </r>
  <r>
    <s v="ORD217"/>
    <x v="216"/>
    <x v="2"/>
    <x v="1"/>
    <x v="0"/>
    <n v="1"/>
    <n v="15000"/>
    <n v="15000"/>
    <n v="11400"/>
    <n v="3600"/>
    <x v="7"/>
  </r>
  <r>
    <s v="ORD218"/>
    <x v="217"/>
    <x v="3"/>
    <x v="4"/>
    <x v="0"/>
    <n v="2"/>
    <n v="50000"/>
    <n v="100000"/>
    <n v="84000"/>
    <n v="16000"/>
    <x v="7"/>
  </r>
  <r>
    <s v="ORD219"/>
    <x v="218"/>
    <x v="1"/>
    <x v="6"/>
    <x v="1"/>
    <n v="4"/>
    <n v="10000"/>
    <n v="40000"/>
    <n v="29200"/>
    <n v="10800"/>
    <x v="7"/>
  </r>
  <r>
    <s v="ORD220"/>
    <x v="219"/>
    <x v="0"/>
    <x v="0"/>
    <x v="0"/>
    <n v="4"/>
    <n v="20000"/>
    <n v="80000"/>
    <n v="67200"/>
    <n v="12800"/>
    <x v="7"/>
  </r>
  <r>
    <s v="ORD221"/>
    <x v="220"/>
    <x v="3"/>
    <x v="3"/>
    <x v="2"/>
    <n v="2"/>
    <n v="500"/>
    <n v="1000"/>
    <n v="760"/>
    <n v="240"/>
    <x v="7"/>
  </r>
  <r>
    <s v="ORD222"/>
    <x v="221"/>
    <x v="3"/>
    <x v="4"/>
    <x v="0"/>
    <n v="6"/>
    <n v="50000"/>
    <n v="300000"/>
    <n v="201000"/>
    <n v="99000"/>
    <x v="7"/>
  </r>
  <r>
    <s v="ORD223"/>
    <x v="222"/>
    <x v="0"/>
    <x v="7"/>
    <x v="2"/>
    <n v="4"/>
    <n v="8000"/>
    <n v="32000"/>
    <n v="22720"/>
    <n v="9280"/>
    <x v="7"/>
  </r>
  <r>
    <s v="ORD224"/>
    <x v="223"/>
    <x v="0"/>
    <x v="4"/>
    <x v="0"/>
    <n v="3"/>
    <n v="50000"/>
    <n v="150000"/>
    <n v="118500"/>
    <n v="31500"/>
    <x v="7"/>
  </r>
  <r>
    <s v="ORD225"/>
    <x v="224"/>
    <x v="3"/>
    <x v="3"/>
    <x v="2"/>
    <n v="9"/>
    <n v="500"/>
    <n v="4500"/>
    <n v="3735"/>
    <n v="765"/>
    <x v="7"/>
  </r>
  <r>
    <s v="ORD226"/>
    <x v="225"/>
    <x v="1"/>
    <x v="3"/>
    <x v="2"/>
    <n v="4"/>
    <n v="500"/>
    <n v="2000"/>
    <n v="1640"/>
    <n v="360"/>
    <x v="7"/>
  </r>
  <r>
    <s v="ORD227"/>
    <x v="226"/>
    <x v="3"/>
    <x v="6"/>
    <x v="1"/>
    <n v="2"/>
    <n v="10000"/>
    <n v="20000"/>
    <n v="16200"/>
    <n v="3800"/>
    <x v="7"/>
  </r>
  <r>
    <s v="ORD228"/>
    <x v="227"/>
    <x v="3"/>
    <x v="5"/>
    <x v="0"/>
    <n v="8"/>
    <n v="3000"/>
    <n v="24000"/>
    <n v="18960"/>
    <n v="5040"/>
    <x v="7"/>
  </r>
  <r>
    <s v="ORD229"/>
    <x v="228"/>
    <x v="3"/>
    <x v="5"/>
    <x v="0"/>
    <n v="6"/>
    <n v="3000"/>
    <n v="18000"/>
    <n v="14040"/>
    <n v="3960"/>
    <x v="7"/>
  </r>
  <r>
    <s v="ORD230"/>
    <x v="229"/>
    <x v="0"/>
    <x v="6"/>
    <x v="1"/>
    <n v="6"/>
    <n v="10000"/>
    <n v="60000"/>
    <n v="45000"/>
    <n v="15000"/>
    <x v="7"/>
  </r>
  <r>
    <s v="ORD231"/>
    <x v="230"/>
    <x v="2"/>
    <x v="4"/>
    <x v="0"/>
    <n v="4"/>
    <n v="50000"/>
    <n v="200000"/>
    <n v="134000"/>
    <n v="66000"/>
    <x v="7"/>
  </r>
  <r>
    <s v="ORD232"/>
    <x v="231"/>
    <x v="1"/>
    <x v="7"/>
    <x v="2"/>
    <n v="6"/>
    <n v="8000"/>
    <n v="48000"/>
    <n v="37920"/>
    <n v="10080"/>
    <x v="7"/>
  </r>
  <r>
    <s v="ORD233"/>
    <x v="232"/>
    <x v="3"/>
    <x v="2"/>
    <x v="1"/>
    <n v="8"/>
    <n v="5000"/>
    <n v="40000"/>
    <n v="29600"/>
    <n v="10400"/>
    <x v="7"/>
  </r>
  <r>
    <s v="ORD234"/>
    <x v="233"/>
    <x v="0"/>
    <x v="7"/>
    <x v="2"/>
    <n v="10"/>
    <n v="8000"/>
    <n v="80000"/>
    <n v="66400"/>
    <n v="13600"/>
    <x v="7"/>
  </r>
  <r>
    <s v="ORD235"/>
    <x v="234"/>
    <x v="3"/>
    <x v="2"/>
    <x v="1"/>
    <n v="2"/>
    <n v="5000"/>
    <n v="10000"/>
    <n v="7700"/>
    <n v="2300"/>
    <x v="7"/>
  </r>
  <r>
    <s v="ORD236"/>
    <x v="235"/>
    <x v="2"/>
    <x v="4"/>
    <x v="0"/>
    <n v="9"/>
    <n v="50000"/>
    <n v="450000"/>
    <n v="328500"/>
    <n v="121500"/>
    <x v="7"/>
  </r>
  <r>
    <s v="ORD237"/>
    <x v="236"/>
    <x v="1"/>
    <x v="6"/>
    <x v="1"/>
    <n v="8"/>
    <n v="10000"/>
    <n v="80000"/>
    <n v="59200"/>
    <n v="20800"/>
    <x v="7"/>
  </r>
  <r>
    <s v="ORD238"/>
    <x v="237"/>
    <x v="0"/>
    <x v="6"/>
    <x v="1"/>
    <n v="1"/>
    <n v="10000"/>
    <n v="10000"/>
    <n v="7800"/>
    <n v="2200"/>
    <x v="7"/>
  </r>
  <r>
    <s v="ORD239"/>
    <x v="238"/>
    <x v="1"/>
    <x v="6"/>
    <x v="1"/>
    <n v="10"/>
    <n v="10000"/>
    <n v="100000"/>
    <n v="76000"/>
    <n v="24000"/>
    <x v="7"/>
  </r>
  <r>
    <s v="ORD240"/>
    <x v="239"/>
    <x v="2"/>
    <x v="7"/>
    <x v="2"/>
    <n v="6"/>
    <n v="8000"/>
    <n v="48000"/>
    <n v="36480"/>
    <n v="11520"/>
    <x v="7"/>
  </r>
  <r>
    <s v="ORD241"/>
    <x v="240"/>
    <x v="0"/>
    <x v="3"/>
    <x v="2"/>
    <n v="9"/>
    <n v="500"/>
    <n v="4500"/>
    <n v="3240"/>
    <n v="1260"/>
    <x v="7"/>
  </r>
  <r>
    <s v="ORD242"/>
    <x v="241"/>
    <x v="1"/>
    <x v="4"/>
    <x v="0"/>
    <n v="4"/>
    <n v="50000"/>
    <n v="200000"/>
    <n v="152000"/>
    <n v="48000"/>
    <x v="8"/>
  </r>
  <r>
    <s v="ORD243"/>
    <x v="242"/>
    <x v="1"/>
    <x v="5"/>
    <x v="0"/>
    <n v="4"/>
    <n v="3000"/>
    <n v="12000"/>
    <n v="7920"/>
    <n v="4080"/>
    <x v="8"/>
  </r>
  <r>
    <s v="ORD244"/>
    <x v="243"/>
    <x v="1"/>
    <x v="5"/>
    <x v="0"/>
    <n v="9"/>
    <n v="3000"/>
    <n v="27000"/>
    <n v="19980"/>
    <n v="7020"/>
    <x v="8"/>
  </r>
  <r>
    <s v="ORD245"/>
    <x v="244"/>
    <x v="2"/>
    <x v="1"/>
    <x v="0"/>
    <n v="1"/>
    <n v="15000"/>
    <n v="15000"/>
    <n v="12750"/>
    <n v="2250"/>
    <x v="8"/>
  </r>
  <r>
    <s v="ORD246"/>
    <x v="245"/>
    <x v="2"/>
    <x v="3"/>
    <x v="2"/>
    <n v="2"/>
    <n v="500"/>
    <n v="1000"/>
    <n v="670"/>
    <n v="330"/>
    <x v="8"/>
  </r>
  <r>
    <s v="ORD247"/>
    <x v="246"/>
    <x v="3"/>
    <x v="1"/>
    <x v="0"/>
    <n v="6"/>
    <n v="15000"/>
    <n v="90000"/>
    <n v="72900"/>
    <n v="17100"/>
    <x v="8"/>
  </r>
  <r>
    <s v="ORD248"/>
    <x v="247"/>
    <x v="3"/>
    <x v="7"/>
    <x v="2"/>
    <n v="4"/>
    <n v="8000"/>
    <n v="32000"/>
    <n v="24640"/>
    <n v="7360"/>
    <x v="8"/>
  </r>
  <r>
    <s v="ORD249"/>
    <x v="248"/>
    <x v="0"/>
    <x v="2"/>
    <x v="1"/>
    <n v="6"/>
    <n v="5000"/>
    <n v="30000"/>
    <n v="23400"/>
    <n v="6600"/>
    <x v="8"/>
  </r>
  <r>
    <s v="ORD250"/>
    <x v="249"/>
    <x v="1"/>
    <x v="5"/>
    <x v="0"/>
    <n v="7"/>
    <n v="3000"/>
    <n v="21000"/>
    <n v="17640"/>
    <n v="3360"/>
    <x v="8"/>
  </r>
  <r>
    <s v="ORD251"/>
    <x v="250"/>
    <x v="2"/>
    <x v="4"/>
    <x v="0"/>
    <n v="1"/>
    <n v="50000"/>
    <n v="50000"/>
    <n v="35000"/>
    <n v="15000"/>
    <x v="8"/>
  </r>
  <r>
    <s v="ORD252"/>
    <x v="251"/>
    <x v="3"/>
    <x v="0"/>
    <x v="0"/>
    <n v="3"/>
    <n v="20000"/>
    <n v="60000"/>
    <n v="44400"/>
    <n v="15600"/>
    <x v="8"/>
  </r>
  <r>
    <s v="ORD253"/>
    <x v="252"/>
    <x v="0"/>
    <x v="7"/>
    <x v="2"/>
    <n v="10"/>
    <n v="8000"/>
    <n v="80000"/>
    <n v="54400"/>
    <n v="25600"/>
    <x v="8"/>
  </r>
  <r>
    <s v="ORD254"/>
    <x v="253"/>
    <x v="3"/>
    <x v="6"/>
    <x v="1"/>
    <n v="7"/>
    <n v="10000"/>
    <n v="70000"/>
    <n v="45500"/>
    <n v="24500"/>
    <x v="8"/>
  </r>
  <r>
    <s v="ORD255"/>
    <x v="254"/>
    <x v="3"/>
    <x v="5"/>
    <x v="0"/>
    <n v="4"/>
    <n v="3000"/>
    <n v="12000"/>
    <n v="9240"/>
    <n v="2760"/>
    <x v="8"/>
  </r>
  <r>
    <s v="ORD256"/>
    <x v="255"/>
    <x v="2"/>
    <x v="0"/>
    <x v="0"/>
    <n v="2"/>
    <n v="20000"/>
    <n v="40000"/>
    <n v="26800"/>
    <n v="13200"/>
    <x v="8"/>
  </r>
  <r>
    <s v="ORD257"/>
    <x v="256"/>
    <x v="2"/>
    <x v="5"/>
    <x v="0"/>
    <n v="8"/>
    <n v="3000"/>
    <n v="24000"/>
    <n v="18720"/>
    <n v="5280"/>
    <x v="8"/>
  </r>
  <r>
    <s v="ORD258"/>
    <x v="257"/>
    <x v="0"/>
    <x v="0"/>
    <x v="0"/>
    <n v="2"/>
    <n v="20000"/>
    <n v="40000"/>
    <n v="34000"/>
    <n v="6000"/>
    <x v="8"/>
  </r>
  <r>
    <s v="ORD259"/>
    <x v="258"/>
    <x v="3"/>
    <x v="4"/>
    <x v="0"/>
    <n v="10"/>
    <n v="50000"/>
    <n v="500000"/>
    <n v="340000"/>
    <n v="160000"/>
    <x v="8"/>
  </r>
  <r>
    <s v="ORD260"/>
    <x v="259"/>
    <x v="0"/>
    <x v="3"/>
    <x v="2"/>
    <n v="1"/>
    <n v="500"/>
    <n v="500"/>
    <n v="405"/>
    <n v="95"/>
    <x v="8"/>
  </r>
  <r>
    <s v="ORD261"/>
    <x v="260"/>
    <x v="0"/>
    <x v="6"/>
    <x v="1"/>
    <n v="8"/>
    <n v="10000"/>
    <n v="80000"/>
    <n v="60000"/>
    <n v="20000"/>
    <x v="8"/>
  </r>
  <r>
    <s v="ORD262"/>
    <x v="261"/>
    <x v="1"/>
    <x v="6"/>
    <x v="1"/>
    <n v="5"/>
    <n v="10000"/>
    <n v="50000"/>
    <n v="37000"/>
    <n v="13000"/>
    <x v="8"/>
  </r>
  <r>
    <s v="ORD263"/>
    <x v="262"/>
    <x v="3"/>
    <x v="6"/>
    <x v="1"/>
    <n v="2"/>
    <n v="10000"/>
    <n v="20000"/>
    <n v="14400"/>
    <n v="5600"/>
    <x v="8"/>
  </r>
  <r>
    <s v="ORD264"/>
    <x v="263"/>
    <x v="2"/>
    <x v="2"/>
    <x v="1"/>
    <n v="1"/>
    <n v="5000"/>
    <n v="5000"/>
    <n v="3450"/>
    <n v="1550"/>
    <x v="8"/>
  </r>
  <r>
    <s v="ORD265"/>
    <x v="264"/>
    <x v="1"/>
    <x v="1"/>
    <x v="0"/>
    <n v="9"/>
    <n v="15000"/>
    <n v="135000"/>
    <n v="94500"/>
    <n v="40500"/>
    <x v="8"/>
  </r>
  <r>
    <s v="ORD266"/>
    <x v="265"/>
    <x v="0"/>
    <x v="4"/>
    <x v="0"/>
    <n v="4"/>
    <n v="50000"/>
    <n v="200000"/>
    <n v="164000"/>
    <n v="36000"/>
    <x v="8"/>
  </r>
  <r>
    <s v="ORD267"/>
    <x v="266"/>
    <x v="3"/>
    <x v="6"/>
    <x v="1"/>
    <n v="2"/>
    <n v="10000"/>
    <n v="20000"/>
    <n v="13400"/>
    <n v="6600"/>
    <x v="8"/>
  </r>
  <r>
    <s v="ORD268"/>
    <x v="267"/>
    <x v="2"/>
    <x v="5"/>
    <x v="0"/>
    <n v="9"/>
    <n v="3000"/>
    <n v="27000"/>
    <n v="19980"/>
    <n v="7020"/>
    <x v="8"/>
  </r>
  <r>
    <s v="ORD269"/>
    <x v="268"/>
    <x v="0"/>
    <x v="7"/>
    <x v="2"/>
    <n v="2"/>
    <n v="8000"/>
    <n v="16000"/>
    <n v="12800"/>
    <n v="3200"/>
    <x v="8"/>
  </r>
  <r>
    <s v="ORD270"/>
    <x v="269"/>
    <x v="3"/>
    <x v="2"/>
    <x v="1"/>
    <n v="8"/>
    <n v="5000"/>
    <n v="40000"/>
    <n v="26400"/>
    <n v="13600"/>
    <x v="8"/>
  </r>
  <r>
    <s v="ORD271"/>
    <x v="270"/>
    <x v="0"/>
    <x v="5"/>
    <x v="0"/>
    <n v="9"/>
    <n v="3000"/>
    <n v="27000"/>
    <n v="17550"/>
    <n v="9450"/>
    <x v="8"/>
  </r>
  <r>
    <s v="ORD272"/>
    <x v="271"/>
    <x v="1"/>
    <x v="4"/>
    <x v="0"/>
    <n v="8"/>
    <n v="50000"/>
    <n v="400000"/>
    <n v="260000"/>
    <n v="140000"/>
    <x v="9"/>
  </r>
  <r>
    <s v="ORD273"/>
    <x v="272"/>
    <x v="0"/>
    <x v="6"/>
    <x v="1"/>
    <n v="9"/>
    <n v="10000"/>
    <n v="90000"/>
    <n v="68400"/>
    <n v="21600"/>
    <x v="9"/>
  </r>
  <r>
    <s v="ORD274"/>
    <x v="273"/>
    <x v="3"/>
    <x v="3"/>
    <x v="2"/>
    <n v="3"/>
    <n v="500"/>
    <n v="1500"/>
    <n v="1095"/>
    <n v="405"/>
    <x v="9"/>
  </r>
  <r>
    <s v="ORD275"/>
    <x v="274"/>
    <x v="2"/>
    <x v="6"/>
    <x v="1"/>
    <n v="2"/>
    <n v="10000"/>
    <n v="20000"/>
    <n v="13600"/>
    <n v="6400"/>
    <x v="9"/>
  </r>
  <r>
    <s v="ORD276"/>
    <x v="275"/>
    <x v="3"/>
    <x v="6"/>
    <x v="1"/>
    <n v="8"/>
    <n v="10000"/>
    <n v="80000"/>
    <n v="62400"/>
    <n v="17600"/>
    <x v="9"/>
  </r>
  <r>
    <s v="ORD277"/>
    <x v="276"/>
    <x v="3"/>
    <x v="6"/>
    <x v="1"/>
    <n v="5"/>
    <n v="10000"/>
    <n v="50000"/>
    <n v="41000"/>
    <n v="9000"/>
    <x v="9"/>
  </r>
  <r>
    <s v="ORD278"/>
    <x v="277"/>
    <x v="2"/>
    <x v="7"/>
    <x v="2"/>
    <n v="5"/>
    <n v="8000"/>
    <n v="40000"/>
    <n v="28800"/>
    <n v="11200"/>
    <x v="9"/>
  </r>
  <r>
    <s v="ORD279"/>
    <x v="278"/>
    <x v="3"/>
    <x v="4"/>
    <x v="0"/>
    <n v="4"/>
    <n v="50000"/>
    <n v="200000"/>
    <n v="166000"/>
    <n v="34000"/>
    <x v="9"/>
  </r>
  <r>
    <s v="ORD280"/>
    <x v="279"/>
    <x v="1"/>
    <x v="2"/>
    <x v="1"/>
    <n v="7"/>
    <n v="5000"/>
    <n v="35000"/>
    <n v="24850"/>
    <n v="10150"/>
    <x v="9"/>
  </r>
  <r>
    <s v="ORD281"/>
    <x v="280"/>
    <x v="1"/>
    <x v="1"/>
    <x v="0"/>
    <n v="4"/>
    <n v="15000"/>
    <n v="60000"/>
    <n v="42000"/>
    <n v="18000"/>
    <x v="9"/>
  </r>
  <r>
    <s v="ORD282"/>
    <x v="281"/>
    <x v="2"/>
    <x v="1"/>
    <x v="0"/>
    <n v="2"/>
    <n v="15000"/>
    <n v="30000"/>
    <n v="24300"/>
    <n v="5700"/>
    <x v="9"/>
  </r>
  <r>
    <s v="ORD283"/>
    <x v="282"/>
    <x v="3"/>
    <x v="2"/>
    <x v="1"/>
    <n v="6"/>
    <n v="5000"/>
    <n v="30000"/>
    <n v="19800"/>
    <n v="10200"/>
    <x v="9"/>
  </r>
  <r>
    <s v="ORD284"/>
    <x v="283"/>
    <x v="2"/>
    <x v="1"/>
    <x v="0"/>
    <n v="5"/>
    <n v="15000"/>
    <n v="75000"/>
    <n v="54750"/>
    <n v="20250"/>
    <x v="9"/>
  </r>
  <r>
    <s v="ORD285"/>
    <x v="284"/>
    <x v="3"/>
    <x v="3"/>
    <x v="2"/>
    <n v="4"/>
    <n v="500"/>
    <n v="2000"/>
    <n v="1700"/>
    <n v="300"/>
    <x v="9"/>
  </r>
  <r>
    <s v="ORD286"/>
    <x v="285"/>
    <x v="0"/>
    <x v="7"/>
    <x v="2"/>
    <n v="7"/>
    <n v="8000"/>
    <n v="56000"/>
    <n v="46480"/>
    <n v="9520"/>
    <x v="9"/>
  </r>
  <r>
    <s v="ORD287"/>
    <x v="286"/>
    <x v="0"/>
    <x v="2"/>
    <x v="1"/>
    <n v="10"/>
    <n v="5000"/>
    <n v="50000"/>
    <n v="36500"/>
    <n v="13500"/>
    <x v="9"/>
  </r>
  <r>
    <s v="ORD288"/>
    <x v="287"/>
    <x v="2"/>
    <x v="6"/>
    <x v="1"/>
    <n v="9"/>
    <n v="10000"/>
    <n v="90000"/>
    <n v="75600"/>
    <n v="14400"/>
    <x v="9"/>
  </r>
  <r>
    <s v="ORD289"/>
    <x v="288"/>
    <x v="2"/>
    <x v="5"/>
    <x v="0"/>
    <n v="1"/>
    <n v="3000"/>
    <n v="3000"/>
    <n v="1980"/>
    <n v="1020"/>
    <x v="9"/>
  </r>
  <r>
    <s v="ORD290"/>
    <x v="289"/>
    <x v="1"/>
    <x v="2"/>
    <x v="1"/>
    <n v="9"/>
    <n v="5000"/>
    <n v="45000"/>
    <n v="35550"/>
    <n v="9450"/>
    <x v="9"/>
  </r>
  <r>
    <s v="ORD291"/>
    <x v="290"/>
    <x v="0"/>
    <x v="2"/>
    <x v="1"/>
    <n v="10"/>
    <n v="5000"/>
    <n v="50000"/>
    <n v="36000"/>
    <n v="14000"/>
    <x v="9"/>
  </r>
  <r>
    <s v="ORD292"/>
    <x v="291"/>
    <x v="2"/>
    <x v="7"/>
    <x v="2"/>
    <n v="4"/>
    <n v="8000"/>
    <n v="32000"/>
    <n v="20800"/>
    <n v="11200"/>
    <x v="9"/>
  </r>
  <r>
    <s v="ORD293"/>
    <x v="292"/>
    <x v="3"/>
    <x v="4"/>
    <x v="0"/>
    <n v="1"/>
    <n v="50000"/>
    <n v="50000"/>
    <n v="36500"/>
    <n v="13500"/>
    <x v="9"/>
  </r>
  <r>
    <s v="ORD294"/>
    <x v="293"/>
    <x v="2"/>
    <x v="4"/>
    <x v="0"/>
    <n v="7"/>
    <n v="50000"/>
    <n v="350000"/>
    <n v="259000"/>
    <n v="91000"/>
    <x v="9"/>
  </r>
  <r>
    <s v="ORD295"/>
    <x v="294"/>
    <x v="0"/>
    <x v="1"/>
    <x v="0"/>
    <n v="6"/>
    <n v="15000"/>
    <n v="90000"/>
    <n v="67500"/>
    <n v="22500"/>
    <x v="9"/>
  </r>
  <r>
    <s v="ORD296"/>
    <x v="295"/>
    <x v="2"/>
    <x v="2"/>
    <x v="1"/>
    <n v="2"/>
    <n v="5000"/>
    <n v="10000"/>
    <n v="8000"/>
    <n v="2000"/>
    <x v="9"/>
  </r>
  <r>
    <s v="ORD297"/>
    <x v="296"/>
    <x v="1"/>
    <x v="3"/>
    <x v="2"/>
    <n v="6"/>
    <n v="500"/>
    <n v="3000"/>
    <n v="2550"/>
    <n v="450"/>
    <x v="9"/>
  </r>
  <r>
    <s v="ORD298"/>
    <x v="297"/>
    <x v="3"/>
    <x v="6"/>
    <x v="1"/>
    <n v="10"/>
    <n v="10000"/>
    <n v="100000"/>
    <n v="78000"/>
    <n v="22000"/>
    <x v="9"/>
  </r>
  <r>
    <s v="ORD299"/>
    <x v="298"/>
    <x v="0"/>
    <x v="6"/>
    <x v="1"/>
    <n v="5"/>
    <n v="10000"/>
    <n v="50000"/>
    <n v="37500"/>
    <n v="12500"/>
    <x v="9"/>
  </r>
  <r>
    <s v="ORD300"/>
    <x v="299"/>
    <x v="3"/>
    <x v="3"/>
    <x v="2"/>
    <n v="10"/>
    <n v="500"/>
    <n v="5000"/>
    <n v="3600"/>
    <n v="1400"/>
    <x v="9"/>
  </r>
  <r>
    <s v="ORD301"/>
    <x v="300"/>
    <x v="3"/>
    <x v="7"/>
    <x v="2"/>
    <n v="1"/>
    <n v="8000"/>
    <n v="8000"/>
    <n v="5360"/>
    <n v="2640"/>
    <x v="9"/>
  </r>
  <r>
    <s v="ORD302"/>
    <x v="301"/>
    <x v="3"/>
    <x v="2"/>
    <x v="1"/>
    <n v="5"/>
    <n v="5000"/>
    <n v="25000"/>
    <n v="16500"/>
    <n v="8500"/>
    <x v="9"/>
  </r>
  <r>
    <s v="ORD303"/>
    <x v="302"/>
    <x v="0"/>
    <x v="4"/>
    <x v="0"/>
    <n v="8"/>
    <n v="50000"/>
    <n v="400000"/>
    <n v="336000"/>
    <n v="64000"/>
    <x v="10"/>
  </r>
  <r>
    <s v="ORD304"/>
    <x v="303"/>
    <x v="0"/>
    <x v="0"/>
    <x v="0"/>
    <n v="4"/>
    <n v="20000"/>
    <n v="80000"/>
    <n v="57600"/>
    <n v="22400"/>
    <x v="10"/>
  </r>
  <r>
    <s v="ORD305"/>
    <x v="304"/>
    <x v="3"/>
    <x v="0"/>
    <x v="0"/>
    <n v="8"/>
    <n v="20000"/>
    <n v="160000"/>
    <n v="115200"/>
    <n v="44800"/>
    <x v="10"/>
  </r>
  <r>
    <s v="ORD306"/>
    <x v="305"/>
    <x v="3"/>
    <x v="3"/>
    <x v="2"/>
    <n v="8"/>
    <n v="500"/>
    <n v="4000"/>
    <n v="2960"/>
    <n v="1040"/>
    <x v="10"/>
  </r>
  <r>
    <s v="ORD307"/>
    <x v="306"/>
    <x v="3"/>
    <x v="2"/>
    <x v="1"/>
    <n v="5"/>
    <n v="5000"/>
    <n v="25000"/>
    <n v="17000"/>
    <n v="8000"/>
    <x v="10"/>
  </r>
  <r>
    <s v="ORD308"/>
    <x v="307"/>
    <x v="1"/>
    <x v="5"/>
    <x v="0"/>
    <n v="8"/>
    <n v="3000"/>
    <n v="24000"/>
    <n v="18480"/>
    <n v="5520"/>
    <x v="10"/>
  </r>
  <r>
    <s v="ORD309"/>
    <x v="308"/>
    <x v="3"/>
    <x v="2"/>
    <x v="1"/>
    <n v="7"/>
    <n v="5000"/>
    <n v="35000"/>
    <n v="24500"/>
    <n v="10500"/>
    <x v="10"/>
  </r>
  <r>
    <s v="ORD310"/>
    <x v="309"/>
    <x v="0"/>
    <x v="7"/>
    <x v="2"/>
    <n v="7"/>
    <n v="8000"/>
    <n v="56000"/>
    <n v="36400"/>
    <n v="19600"/>
    <x v="10"/>
  </r>
  <r>
    <s v="ORD311"/>
    <x v="310"/>
    <x v="3"/>
    <x v="2"/>
    <x v="1"/>
    <n v="3"/>
    <n v="5000"/>
    <n v="15000"/>
    <n v="9750"/>
    <n v="5250"/>
    <x v="10"/>
  </r>
  <r>
    <s v="ORD312"/>
    <x v="311"/>
    <x v="1"/>
    <x v="7"/>
    <x v="2"/>
    <n v="2"/>
    <n v="8000"/>
    <n v="16000"/>
    <n v="11840"/>
    <n v="4160"/>
    <x v="10"/>
  </r>
  <r>
    <s v="ORD313"/>
    <x v="312"/>
    <x v="2"/>
    <x v="7"/>
    <x v="2"/>
    <n v="3"/>
    <n v="8000"/>
    <n v="24000"/>
    <n v="19440"/>
    <n v="4560"/>
    <x v="10"/>
  </r>
  <r>
    <s v="ORD314"/>
    <x v="313"/>
    <x v="2"/>
    <x v="7"/>
    <x v="2"/>
    <n v="2"/>
    <n v="8000"/>
    <n v="16000"/>
    <n v="12960"/>
    <n v="3040"/>
    <x v="10"/>
  </r>
  <r>
    <s v="ORD315"/>
    <x v="314"/>
    <x v="3"/>
    <x v="7"/>
    <x v="2"/>
    <n v="7"/>
    <n v="8000"/>
    <n v="56000"/>
    <n v="45360"/>
    <n v="10640"/>
    <x v="10"/>
  </r>
  <r>
    <s v="ORD316"/>
    <x v="315"/>
    <x v="3"/>
    <x v="6"/>
    <x v="1"/>
    <n v="6"/>
    <n v="10000"/>
    <n v="60000"/>
    <n v="39000"/>
    <n v="21000"/>
    <x v="10"/>
  </r>
  <r>
    <s v="ORD317"/>
    <x v="316"/>
    <x v="3"/>
    <x v="1"/>
    <x v="0"/>
    <n v="7"/>
    <n v="15000"/>
    <n v="105000"/>
    <n v="73500"/>
    <n v="31500"/>
    <x v="10"/>
  </r>
  <r>
    <s v="ORD318"/>
    <x v="317"/>
    <x v="0"/>
    <x v="5"/>
    <x v="0"/>
    <n v="2"/>
    <n v="3000"/>
    <n v="6000"/>
    <n v="4200"/>
    <n v="1800"/>
    <x v="10"/>
  </r>
  <r>
    <s v="ORD319"/>
    <x v="318"/>
    <x v="1"/>
    <x v="2"/>
    <x v="1"/>
    <n v="4"/>
    <n v="5000"/>
    <n v="20000"/>
    <n v="14200"/>
    <n v="5800"/>
    <x v="10"/>
  </r>
  <r>
    <s v="ORD320"/>
    <x v="319"/>
    <x v="0"/>
    <x v="3"/>
    <x v="2"/>
    <n v="10"/>
    <n v="500"/>
    <n v="5000"/>
    <n v="3550"/>
    <n v="1450"/>
    <x v="10"/>
  </r>
  <r>
    <s v="ORD321"/>
    <x v="320"/>
    <x v="2"/>
    <x v="5"/>
    <x v="0"/>
    <n v="8"/>
    <n v="3000"/>
    <n v="24000"/>
    <n v="16080"/>
    <n v="7920"/>
    <x v="10"/>
  </r>
  <r>
    <s v="ORD322"/>
    <x v="321"/>
    <x v="3"/>
    <x v="4"/>
    <x v="0"/>
    <n v="6"/>
    <n v="50000"/>
    <n v="300000"/>
    <n v="246000"/>
    <n v="54000"/>
    <x v="10"/>
  </r>
  <r>
    <s v="ORD323"/>
    <x v="322"/>
    <x v="2"/>
    <x v="0"/>
    <x v="0"/>
    <n v="5"/>
    <n v="20000"/>
    <n v="100000"/>
    <n v="85000"/>
    <n v="15000"/>
    <x v="10"/>
  </r>
  <r>
    <s v="ORD324"/>
    <x v="323"/>
    <x v="1"/>
    <x v="3"/>
    <x v="2"/>
    <n v="8"/>
    <n v="500"/>
    <n v="4000"/>
    <n v="2720"/>
    <n v="1280"/>
    <x v="10"/>
  </r>
  <r>
    <s v="ORD325"/>
    <x v="324"/>
    <x v="0"/>
    <x v="0"/>
    <x v="0"/>
    <n v="5"/>
    <n v="20000"/>
    <n v="100000"/>
    <n v="82000"/>
    <n v="18000"/>
    <x v="10"/>
  </r>
  <r>
    <s v="ORD326"/>
    <x v="325"/>
    <x v="1"/>
    <x v="4"/>
    <x v="0"/>
    <n v="10"/>
    <n v="50000"/>
    <n v="500000"/>
    <n v="335000"/>
    <n v="165000"/>
    <x v="10"/>
  </r>
  <r>
    <s v="ORD327"/>
    <x v="326"/>
    <x v="1"/>
    <x v="2"/>
    <x v="1"/>
    <n v="4"/>
    <n v="5000"/>
    <n v="20000"/>
    <n v="13600"/>
    <n v="6400"/>
    <x v="10"/>
  </r>
  <r>
    <s v="ORD328"/>
    <x v="327"/>
    <x v="1"/>
    <x v="4"/>
    <x v="0"/>
    <n v="3"/>
    <n v="50000"/>
    <n v="150000"/>
    <n v="97500"/>
    <n v="52500"/>
    <x v="10"/>
  </r>
  <r>
    <s v="ORD329"/>
    <x v="328"/>
    <x v="1"/>
    <x v="6"/>
    <x v="1"/>
    <n v="3"/>
    <n v="10000"/>
    <n v="30000"/>
    <n v="24300"/>
    <n v="5700"/>
    <x v="10"/>
  </r>
  <r>
    <s v="ORD330"/>
    <x v="329"/>
    <x v="1"/>
    <x v="2"/>
    <x v="1"/>
    <n v="1"/>
    <n v="5000"/>
    <n v="5000"/>
    <n v="4000"/>
    <n v="1000"/>
    <x v="10"/>
  </r>
  <r>
    <s v="ORD331"/>
    <x v="330"/>
    <x v="1"/>
    <x v="3"/>
    <x v="2"/>
    <n v="1"/>
    <n v="500"/>
    <n v="500"/>
    <n v="420"/>
    <n v="80"/>
    <x v="10"/>
  </r>
  <r>
    <s v="ORD332"/>
    <x v="331"/>
    <x v="2"/>
    <x v="0"/>
    <x v="0"/>
    <n v="9"/>
    <n v="20000"/>
    <n v="180000"/>
    <n v="127800"/>
    <n v="52200"/>
    <x v="10"/>
  </r>
  <r>
    <s v="ORD333"/>
    <x v="332"/>
    <x v="3"/>
    <x v="7"/>
    <x v="2"/>
    <n v="2"/>
    <n v="8000"/>
    <n v="16000"/>
    <n v="13440"/>
    <n v="2560"/>
    <x v="10"/>
  </r>
  <r>
    <s v="ORD334"/>
    <x v="333"/>
    <x v="0"/>
    <x v="1"/>
    <x v="0"/>
    <n v="7"/>
    <n v="15000"/>
    <n v="105000"/>
    <n v="87150"/>
    <n v="17850"/>
    <x v="11"/>
  </r>
  <r>
    <s v="ORD335"/>
    <x v="334"/>
    <x v="3"/>
    <x v="1"/>
    <x v="0"/>
    <n v="9"/>
    <n v="15000"/>
    <n v="135000"/>
    <n v="102600"/>
    <n v="32400"/>
    <x v="11"/>
  </r>
  <r>
    <s v="ORD336"/>
    <x v="335"/>
    <x v="3"/>
    <x v="2"/>
    <x v="1"/>
    <n v="5"/>
    <n v="5000"/>
    <n v="25000"/>
    <n v="21250"/>
    <n v="3750"/>
    <x v="11"/>
  </r>
  <r>
    <s v="ORD337"/>
    <x v="336"/>
    <x v="2"/>
    <x v="3"/>
    <x v="2"/>
    <n v="3"/>
    <n v="500"/>
    <n v="1500"/>
    <n v="990"/>
    <n v="510"/>
    <x v="11"/>
  </r>
  <r>
    <s v="ORD338"/>
    <x v="337"/>
    <x v="3"/>
    <x v="2"/>
    <x v="1"/>
    <n v="3"/>
    <n v="5000"/>
    <n v="15000"/>
    <n v="12600"/>
    <n v="2400"/>
    <x v="11"/>
  </r>
  <r>
    <s v="ORD339"/>
    <x v="338"/>
    <x v="3"/>
    <x v="1"/>
    <x v="0"/>
    <n v="1"/>
    <n v="15000"/>
    <n v="15000"/>
    <n v="12150"/>
    <n v="2850"/>
    <x v="11"/>
  </r>
  <r>
    <s v="ORD340"/>
    <x v="339"/>
    <x v="2"/>
    <x v="2"/>
    <x v="1"/>
    <n v="7"/>
    <n v="5000"/>
    <n v="35000"/>
    <n v="24150"/>
    <n v="10850"/>
    <x v="11"/>
  </r>
  <r>
    <s v="ORD341"/>
    <x v="340"/>
    <x v="2"/>
    <x v="2"/>
    <x v="1"/>
    <n v="9"/>
    <n v="5000"/>
    <n v="45000"/>
    <n v="29700"/>
    <n v="15300"/>
    <x v="11"/>
  </r>
  <r>
    <s v="ORD342"/>
    <x v="341"/>
    <x v="3"/>
    <x v="2"/>
    <x v="1"/>
    <n v="6"/>
    <n v="5000"/>
    <n v="30000"/>
    <n v="21900"/>
    <n v="8100"/>
    <x v="11"/>
  </r>
  <r>
    <s v="ORD343"/>
    <x v="342"/>
    <x v="2"/>
    <x v="7"/>
    <x v="2"/>
    <n v="8"/>
    <n v="8000"/>
    <n v="64000"/>
    <n v="52480"/>
    <n v="11520"/>
    <x v="11"/>
  </r>
  <r>
    <s v="ORD344"/>
    <x v="343"/>
    <x v="1"/>
    <x v="5"/>
    <x v="0"/>
    <n v="7"/>
    <n v="3000"/>
    <n v="21000"/>
    <n v="14280"/>
    <n v="6720"/>
    <x v="11"/>
  </r>
  <r>
    <s v="ORD345"/>
    <x v="344"/>
    <x v="3"/>
    <x v="4"/>
    <x v="0"/>
    <n v="8"/>
    <n v="50000"/>
    <n v="400000"/>
    <n v="296000"/>
    <n v="104000"/>
    <x v="11"/>
  </r>
  <r>
    <s v="ORD346"/>
    <x v="345"/>
    <x v="3"/>
    <x v="3"/>
    <x v="2"/>
    <n v="8"/>
    <n v="500"/>
    <n v="4000"/>
    <n v="2800"/>
    <n v="1200"/>
    <x v="11"/>
  </r>
  <r>
    <s v="ORD347"/>
    <x v="346"/>
    <x v="3"/>
    <x v="4"/>
    <x v="0"/>
    <n v="8"/>
    <n v="50000"/>
    <n v="400000"/>
    <n v="320000"/>
    <n v="80000"/>
    <x v="11"/>
  </r>
  <r>
    <s v="ORD348"/>
    <x v="347"/>
    <x v="3"/>
    <x v="0"/>
    <x v="0"/>
    <n v="3"/>
    <n v="20000"/>
    <n v="60000"/>
    <n v="45600"/>
    <n v="14400"/>
    <x v="11"/>
  </r>
  <r>
    <s v="ORD349"/>
    <x v="348"/>
    <x v="1"/>
    <x v="3"/>
    <x v="2"/>
    <n v="9"/>
    <n v="500"/>
    <n v="4500"/>
    <n v="3375"/>
    <n v="1125"/>
    <x v="11"/>
  </r>
  <r>
    <s v="ORD350"/>
    <x v="349"/>
    <x v="3"/>
    <x v="6"/>
    <x v="1"/>
    <n v="2"/>
    <n v="10000"/>
    <n v="20000"/>
    <n v="15200"/>
    <n v="4800"/>
    <x v="11"/>
  </r>
  <r>
    <s v="ORD351"/>
    <x v="350"/>
    <x v="1"/>
    <x v="5"/>
    <x v="0"/>
    <n v="8"/>
    <n v="3000"/>
    <n v="24000"/>
    <n v="18240"/>
    <n v="5760"/>
    <x v="11"/>
  </r>
  <r>
    <s v="ORD352"/>
    <x v="351"/>
    <x v="0"/>
    <x v="7"/>
    <x v="2"/>
    <n v="10"/>
    <n v="8000"/>
    <n v="80000"/>
    <n v="52000"/>
    <n v="28000"/>
    <x v="11"/>
  </r>
  <r>
    <s v="ORD353"/>
    <x v="352"/>
    <x v="1"/>
    <x v="6"/>
    <x v="1"/>
    <n v="5"/>
    <n v="10000"/>
    <n v="50000"/>
    <n v="40500"/>
    <n v="9500"/>
    <x v="11"/>
  </r>
  <r>
    <s v="ORD354"/>
    <x v="353"/>
    <x v="2"/>
    <x v="5"/>
    <x v="0"/>
    <n v="7"/>
    <n v="3000"/>
    <n v="21000"/>
    <n v="15330"/>
    <n v="5670"/>
    <x v="11"/>
  </r>
  <r>
    <s v="ORD355"/>
    <x v="354"/>
    <x v="0"/>
    <x v="6"/>
    <x v="1"/>
    <n v="10"/>
    <n v="10000"/>
    <n v="100000"/>
    <n v="83000"/>
    <n v="17000"/>
    <x v="11"/>
  </r>
  <r>
    <s v="ORD356"/>
    <x v="355"/>
    <x v="3"/>
    <x v="0"/>
    <x v="0"/>
    <n v="9"/>
    <n v="20000"/>
    <n v="180000"/>
    <n v="153000"/>
    <n v="27000"/>
    <x v="11"/>
  </r>
  <r>
    <s v="ORD357"/>
    <x v="356"/>
    <x v="3"/>
    <x v="6"/>
    <x v="1"/>
    <n v="7"/>
    <n v="10000"/>
    <n v="70000"/>
    <n v="52500"/>
    <n v="17500"/>
    <x v="11"/>
  </r>
  <r>
    <s v="ORD358"/>
    <x v="357"/>
    <x v="2"/>
    <x v="6"/>
    <x v="1"/>
    <n v="6"/>
    <n v="10000"/>
    <n v="60000"/>
    <n v="48000"/>
    <n v="12000"/>
    <x v="11"/>
  </r>
  <r>
    <s v="ORD359"/>
    <x v="358"/>
    <x v="2"/>
    <x v="0"/>
    <x v="0"/>
    <n v="6"/>
    <n v="20000"/>
    <n v="120000"/>
    <n v="102000"/>
    <n v="18000"/>
    <x v="11"/>
  </r>
  <r>
    <s v="ORD360"/>
    <x v="359"/>
    <x v="3"/>
    <x v="3"/>
    <x v="2"/>
    <n v="8"/>
    <n v="500"/>
    <n v="4000"/>
    <n v="3080"/>
    <n v="920"/>
    <x v="11"/>
  </r>
  <r>
    <s v="ORD361"/>
    <x v="360"/>
    <x v="2"/>
    <x v="1"/>
    <x v="0"/>
    <n v="3"/>
    <n v="15000"/>
    <n v="45000"/>
    <n v="38250"/>
    <n v="6750"/>
    <x v="11"/>
  </r>
  <r>
    <s v="ORD362"/>
    <x v="361"/>
    <x v="3"/>
    <x v="2"/>
    <x v="1"/>
    <n v="6"/>
    <n v="5000"/>
    <n v="30000"/>
    <n v="23400"/>
    <n v="6600"/>
    <x v="11"/>
  </r>
  <r>
    <s v="ORD363"/>
    <x v="362"/>
    <x v="3"/>
    <x v="5"/>
    <x v="0"/>
    <n v="9"/>
    <n v="3000"/>
    <n v="27000"/>
    <n v="20520"/>
    <n v="6480"/>
    <x v="11"/>
  </r>
  <r>
    <s v="ORD364"/>
    <x v="363"/>
    <x v="0"/>
    <x v="5"/>
    <x v="0"/>
    <n v="2"/>
    <n v="3000"/>
    <n v="6000"/>
    <n v="3900"/>
    <n v="2100"/>
    <x v="0"/>
  </r>
  <r>
    <s v="ORD365"/>
    <x v="364"/>
    <x v="3"/>
    <x v="0"/>
    <x v="0"/>
    <n v="3"/>
    <n v="20000"/>
    <n v="60000"/>
    <n v="42000"/>
    <n v="18000"/>
    <x v="0"/>
  </r>
  <r>
    <s v="ORD366"/>
    <x v="365"/>
    <x v="3"/>
    <x v="1"/>
    <x v="0"/>
    <n v="6"/>
    <n v="15000"/>
    <n v="90000"/>
    <n v="70200"/>
    <n v="19800"/>
    <x v="0"/>
  </r>
  <r>
    <s v="ORD367"/>
    <x v="366"/>
    <x v="2"/>
    <x v="3"/>
    <x v="2"/>
    <n v="4"/>
    <n v="500"/>
    <n v="2000"/>
    <n v="1480"/>
    <n v="520"/>
    <x v="0"/>
  </r>
  <r>
    <s v="ORD368"/>
    <x v="367"/>
    <x v="2"/>
    <x v="4"/>
    <x v="0"/>
    <n v="1"/>
    <n v="50000"/>
    <n v="50000"/>
    <n v="36500"/>
    <n v="13500"/>
    <x v="0"/>
  </r>
  <r>
    <s v="ORD369"/>
    <x v="368"/>
    <x v="0"/>
    <x v="3"/>
    <x v="2"/>
    <n v="9"/>
    <n v="500"/>
    <n v="4500"/>
    <n v="3420"/>
    <n v="1080"/>
    <x v="0"/>
  </r>
  <r>
    <s v="ORD370"/>
    <x v="369"/>
    <x v="2"/>
    <x v="3"/>
    <x v="2"/>
    <n v="9"/>
    <n v="500"/>
    <n v="4500"/>
    <n v="3330"/>
    <n v="1170"/>
    <x v="0"/>
  </r>
  <r>
    <s v="ORD371"/>
    <x v="370"/>
    <x v="3"/>
    <x v="0"/>
    <x v="0"/>
    <n v="10"/>
    <n v="20000"/>
    <n v="200000"/>
    <n v="132000"/>
    <n v="68000"/>
    <x v="0"/>
  </r>
  <r>
    <s v="ORD372"/>
    <x v="371"/>
    <x v="2"/>
    <x v="2"/>
    <x v="1"/>
    <n v="1"/>
    <n v="5000"/>
    <n v="5000"/>
    <n v="3450"/>
    <n v="1550"/>
    <x v="0"/>
  </r>
  <r>
    <s v="ORD373"/>
    <x v="372"/>
    <x v="1"/>
    <x v="5"/>
    <x v="0"/>
    <n v="1"/>
    <n v="3000"/>
    <n v="3000"/>
    <n v="2430"/>
    <n v="570"/>
    <x v="0"/>
  </r>
  <r>
    <s v="ORD374"/>
    <x v="373"/>
    <x v="2"/>
    <x v="7"/>
    <x v="2"/>
    <n v="7"/>
    <n v="8000"/>
    <n v="56000"/>
    <n v="40880"/>
    <n v="15120"/>
    <x v="0"/>
  </r>
  <r>
    <s v="ORD375"/>
    <x v="374"/>
    <x v="1"/>
    <x v="5"/>
    <x v="0"/>
    <n v="2"/>
    <n v="3000"/>
    <n v="6000"/>
    <n v="4680"/>
    <n v="1320"/>
    <x v="0"/>
  </r>
  <r>
    <s v="ORD376"/>
    <x v="375"/>
    <x v="0"/>
    <x v="2"/>
    <x v="1"/>
    <n v="9"/>
    <n v="5000"/>
    <n v="45000"/>
    <n v="29700"/>
    <n v="15300"/>
    <x v="0"/>
  </r>
  <r>
    <s v="ORD377"/>
    <x v="376"/>
    <x v="3"/>
    <x v="6"/>
    <x v="1"/>
    <n v="3"/>
    <n v="10000"/>
    <n v="30000"/>
    <n v="20400"/>
    <n v="9600"/>
    <x v="0"/>
  </r>
  <r>
    <s v="ORD378"/>
    <x v="377"/>
    <x v="3"/>
    <x v="4"/>
    <x v="0"/>
    <n v="10"/>
    <n v="50000"/>
    <n v="500000"/>
    <n v="400000"/>
    <n v="100000"/>
    <x v="0"/>
  </r>
  <r>
    <s v="ORD379"/>
    <x v="378"/>
    <x v="2"/>
    <x v="2"/>
    <x v="1"/>
    <n v="9"/>
    <n v="5000"/>
    <n v="45000"/>
    <n v="36450"/>
    <n v="8550"/>
    <x v="0"/>
  </r>
  <r>
    <s v="ORD380"/>
    <x v="379"/>
    <x v="1"/>
    <x v="1"/>
    <x v="0"/>
    <n v="3"/>
    <n v="15000"/>
    <n v="45000"/>
    <n v="36900"/>
    <n v="8100"/>
    <x v="0"/>
  </r>
  <r>
    <s v="ORD381"/>
    <x v="380"/>
    <x v="3"/>
    <x v="7"/>
    <x v="2"/>
    <n v="2"/>
    <n v="8000"/>
    <n v="16000"/>
    <n v="12480"/>
    <n v="3520"/>
    <x v="0"/>
  </r>
  <r>
    <s v="ORD382"/>
    <x v="381"/>
    <x v="0"/>
    <x v="3"/>
    <x v="2"/>
    <n v="5"/>
    <n v="500"/>
    <n v="2500"/>
    <n v="1950"/>
    <n v="550"/>
    <x v="0"/>
  </r>
  <r>
    <s v="ORD383"/>
    <x v="382"/>
    <x v="3"/>
    <x v="0"/>
    <x v="0"/>
    <n v="3"/>
    <n v="20000"/>
    <n v="60000"/>
    <n v="49200"/>
    <n v="10800"/>
    <x v="0"/>
  </r>
  <r>
    <s v="ORD384"/>
    <x v="383"/>
    <x v="2"/>
    <x v="2"/>
    <x v="1"/>
    <n v="7"/>
    <n v="5000"/>
    <n v="35000"/>
    <n v="29050"/>
    <n v="5950"/>
    <x v="0"/>
  </r>
  <r>
    <s v="ORD385"/>
    <x v="384"/>
    <x v="2"/>
    <x v="3"/>
    <x v="2"/>
    <n v="6"/>
    <n v="500"/>
    <n v="3000"/>
    <n v="2010"/>
    <n v="990"/>
    <x v="0"/>
  </r>
  <r>
    <s v="ORD386"/>
    <x v="385"/>
    <x v="3"/>
    <x v="3"/>
    <x v="2"/>
    <n v="4"/>
    <n v="500"/>
    <n v="2000"/>
    <n v="1640"/>
    <n v="360"/>
    <x v="0"/>
  </r>
  <r>
    <s v="ORD387"/>
    <x v="386"/>
    <x v="2"/>
    <x v="4"/>
    <x v="0"/>
    <n v="6"/>
    <n v="50000"/>
    <n v="300000"/>
    <n v="237000"/>
    <n v="63000"/>
    <x v="0"/>
  </r>
  <r>
    <s v="ORD388"/>
    <x v="387"/>
    <x v="2"/>
    <x v="0"/>
    <x v="0"/>
    <n v="9"/>
    <n v="20000"/>
    <n v="180000"/>
    <n v="122400"/>
    <n v="57600"/>
    <x v="0"/>
  </r>
  <r>
    <s v="ORD389"/>
    <x v="388"/>
    <x v="1"/>
    <x v="7"/>
    <x v="2"/>
    <n v="9"/>
    <n v="8000"/>
    <n v="72000"/>
    <n v="58320"/>
    <n v="13680"/>
    <x v="0"/>
  </r>
  <r>
    <s v="ORD390"/>
    <x v="389"/>
    <x v="3"/>
    <x v="6"/>
    <x v="1"/>
    <n v="6"/>
    <n v="10000"/>
    <n v="60000"/>
    <n v="43200"/>
    <n v="16800"/>
    <x v="0"/>
  </r>
  <r>
    <s v="ORD391"/>
    <x v="390"/>
    <x v="2"/>
    <x v="4"/>
    <x v="0"/>
    <n v="3"/>
    <n v="50000"/>
    <n v="150000"/>
    <n v="97500"/>
    <n v="52500"/>
    <x v="0"/>
  </r>
  <r>
    <s v="ORD392"/>
    <x v="391"/>
    <x v="1"/>
    <x v="4"/>
    <x v="0"/>
    <n v="6"/>
    <n v="50000"/>
    <n v="300000"/>
    <n v="216000"/>
    <n v="84000"/>
    <x v="0"/>
  </r>
  <r>
    <s v="ORD393"/>
    <x v="392"/>
    <x v="2"/>
    <x v="3"/>
    <x v="2"/>
    <n v="2"/>
    <n v="500"/>
    <n v="1000"/>
    <n v="700"/>
    <n v="300"/>
    <x v="0"/>
  </r>
  <r>
    <s v="ORD394"/>
    <x v="393"/>
    <x v="3"/>
    <x v="4"/>
    <x v="0"/>
    <n v="9"/>
    <n v="50000"/>
    <n v="450000"/>
    <n v="355500"/>
    <n v="94500"/>
    <x v="0"/>
  </r>
  <r>
    <s v="ORD395"/>
    <x v="394"/>
    <x v="0"/>
    <x v="3"/>
    <x v="2"/>
    <n v="3"/>
    <n v="500"/>
    <n v="1500"/>
    <n v="975"/>
    <n v="525"/>
    <x v="1"/>
  </r>
  <r>
    <s v="ORD396"/>
    <x v="395"/>
    <x v="2"/>
    <x v="2"/>
    <x v="1"/>
    <n v="2"/>
    <n v="5000"/>
    <n v="10000"/>
    <n v="7800"/>
    <n v="2200"/>
    <x v="1"/>
  </r>
  <r>
    <s v="ORD397"/>
    <x v="396"/>
    <x v="1"/>
    <x v="7"/>
    <x v="2"/>
    <n v="9"/>
    <n v="8000"/>
    <n v="72000"/>
    <n v="54000"/>
    <n v="18000"/>
    <x v="1"/>
  </r>
  <r>
    <s v="ORD398"/>
    <x v="397"/>
    <x v="0"/>
    <x v="2"/>
    <x v="1"/>
    <n v="1"/>
    <n v="5000"/>
    <n v="5000"/>
    <n v="4100"/>
    <n v="900"/>
    <x v="1"/>
  </r>
  <r>
    <s v="ORD399"/>
    <x v="398"/>
    <x v="2"/>
    <x v="6"/>
    <x v="1"/>
    <n v="9"/>
    <n v="10000"/>
    <n v="90000"/>
    <n v="72900"/>
    <n v="17100"/>
    <x v="1"/>
  </r>
  <r>
    <s v="ORD400"/>
    <x v="399"/>
    <x v="0"/>
    <x v="6"/>
    <x v="1"/>
    <n v="10"/>
    <n v="10000"/>
    <n v="100000"/>
    <n v="70000"/>
    <n v="30000"/>
    <x v="1"/>
  </r>
  <r>
    <s v="ORD401"/>
    <x v="400"/>
    <x v="1"/>
    <x v="2"/>
    <x v="1"/>
    <n v="9"/>
    <n v="5000"/>
    <n v="45000"/>
    <n v="36450"/>
    <n v="8550"/>
    <x v="1"/>
  </r>
  <r>
    <s v="ORD402"/>
    <x v="401"/>
    <x v="1"/>
    <x v="3"/>
    <x v="2"/>
    <n v="1"/>
    <n v="500"/>
    <n v="500"/>
    <n v="385"/>
    <n v="115"/>
    <x v="1"/>
  </r>
  <r>
    <s v="ORD403"/>
    <x v="402"/>
    <x v="3"/>
    <x v="0"/>
    <x v="0"/>
    <n v="4"/>
    <n v="20000"/>
    <n v="80000"/>
    <n v="56800"/>
    <n v="23200"/>
    <x v="1"/>
  </r>
  <r>
    <s v="ORD404"/>
    <x v="403"/>
    <x v="3"/>
    <x v="7"/>
    <x v="2"/>
    <n v="5"/>
    <n v="8000"/>
    <n v="40000"/>
    <n v="27200"/>
    <n v="12800"/>
    <x v="1"/>
  </r>
  <r>
    <s v="ORD405"/>
    <x v="404"/>
    <x v="0"/>
    <x v="7"/>
    <x v="2"/>
    <n v="2"/>
    <n v="8000"/>
    <n v="16000"/>
    <n v="12800"/>
    <n v="3200"/>
    <x v="1"/>
  </r>
  <r>
    <s v="ORD406"/>
    <x v="405"/>
    <x v="1"/>
    <x v="0"/>
    <x v="0"/>
    <n v="8"/>
    <n v="20000"/>
    <n v="160000"/>
    <n v="112000"/>
    <n v="48000"/>
    <x v="1"/>
  </r>
  <r>
    <s v="ORD407"/>
    <x v="406"/>
    <x v="3"/>
    <x v="2"/>
    <x v="1"/>
    <n v="9"/>
    <n v="5000"/>
    <n v="45000"/>
    <n v="30150"/>
    <n v="14850"/>
    <x v="1"/>
  </r>
  <r>
    <s v="ORD408"/>
    <x v="407"/>
    <x v="3"/>
    <x v="4"/>
    <x v="0"/>
    <n v="4"/>
    <n v="50000"/>
    <n v="200000"/>
    <n v="132000"/>
    <n v="68000"/>
    <x v="1"/>
  </r>
  <r>
    <s v="ORD409"/>
    <x v="408"/>
    <x v="3"/>
    <x v="1"/>
    <x v="0"/>
    <n v="5"/>
    <n v="15000"/>
    <n v="75000"/>
    <n v="59250"/>
    <n v="15750"/>
    <x v="1"/>
  </r>
  <r>
    <s v="ORD410"/>
    <x v="409"/>
    <x v="0"/>
    <x v="2"/>
    <x v="1"/>
    <n v="4"/>
    <n v="5000"/>
    <n v="20000"/>
    <n v="14400"/>
    <n v="5600"/>
    <x v="1"/>
  </r>
  <r>
    <s v="ORD411"/>
    <x v="410"/>
    <x v="2"/>
    <x v="4"/>
    <x v="0"/>
    <n v="1"/>
    <n v="50000"/>
    <n v="50000"/>
    <n v="37500"/>
    <n v="12500"/>
    <x v="1"/>
  </r>
  <r>
    <s v="ORD412"/>
    <x v="411"/>
    <x v="0"/>
    <x v="2"/>
    <x v="1"/>
    <n v="3"/>
    <n v="5000"/>
    <n v="15000"/>
    <n v="10800"/>
    <n v="4200"/>
    <x v="1"/>
  </r>
  <r>
    <s v="ORD413"/>
    <x v="412"/>
    <x v="1"/>
    <x v="1"/>
    <x v="0"/>
    <n v="1"/>
    <n v="15000"/>
    <n v="15000"/>
    <n v="10650"/>
    <n v="4350"/>
    <x v="1"/>
  </r>
  <r>
    <s v="ORD414"/>
    <x v="413"/>
    <x v="3"/>
    <x v="5"/>
    <x v="0"/>
    <n v="7"/>
    <n v="3000"/>
    <n v="21000"/>
    <n v="17220"/>
    <n v="3780"/>
    <x v="1"/>
  </r>
  <r>
    <s v="ORD415"/>
    <x v="414"/>
    <x v="1"/>
    <x v="7"/>
    <x v="2"/>
    <n v="1"/>
    <n v="8000"/>
    <n v="8000"/>
    <n v="5840"/>
    <n v="2160"/>
    <x v="1"/>
  </r>
  <r>
    <s v="ORD416"/>
    <x v="415"/>
    <x v="2"/>
    <x v="5"/>
    <x v="0"/>
    <n v="6"/>
    <n v="3000"/>
    <n v="18000"/>
    <n v="11880"/>
    <n v="6120"/>
    <x v="1"/>
  </r>
  <r>
    <s v="ORD417"/>
    <x v="416"/>
    <x v="1"/>
    <x v="4"/>
    <x v="0"/>
    <n v="8"/>
    <n v="50000"/>
    <n v="400000"/>
    <n v="284000"/>
    <n v="116000"/>
    <x v="1"/>
  </r>
  <r>
    <s v="ORD418"/>
    <x v="417"/>
    <x v="2"/>
    <x v="4"/>
    <x v="0"/>
    <n v="8"/>
    <n v="50000"/>
    <n v="400000"/>
    <n v="316000"/>
    <n v="84000"/>
    <x v="1"/>
  </r>
  <r>
    <s v="ORD419"/>
    <x v="418"/>
    <x v="1"/>
    <x v="7"/>
    <x v="2"/>
    <n v="7"/>
    <n v="8000"/>
    <n v="56000"/>
    <n v="39760"/>
    <n v="16240"/>
    <x v="1"/>
  </r>
  <r>
    <s v="ORD420"/>
    <x v="419"/>
    <x v="2"/>
    <x v="3"/>
    <x v="2"/>
    <n v="7"/>
    <n v="500"/>
    <n v="3500"/>
    <n v="2625"/>
    <n v="875"/>
    <x v="1"/>
  </r>
  <r>
    <s v="ORD421"/>
    <x v="420"/>
    <x v="2"/>
    <x v="5"/>
    <x v="0"/>
    <n v="5"/>
    <n v="3000"/>
    <n v="15000"/>
    <n v="12300"/>
    <n v="2700"/>
    <x v="1"/>
  </r>
  <r>
    <s v="ORD422"/>
    <x v="421"/>
    <x v="3"/>
    <x v="7"/>
    <x v="2"/>
    <n v="3"/>
    <n v="8000"/>
    <n v="24000"/>
    <n v="17280"/>
    <n v="6720"/>
    <x v="1"/>
  </r>
  <r>
    <s v="ORD423"/>
    <x v="422"/>
    <x v="1"/>
    <x v="3"/>
    <x v="2"/>
    <n v="5"/>
    <n v="500"/>
    <n v="2500"/>
    <n v="1725"/>
    <n v="775"/>
    <x v="1"/>
  </r>
  <r>
    <s v="ORD424"/>
    <x v="423"/>
    <x v="2"/>
    <x v="1"/>
    <x v="0"/>
    <n v="9"/>
    <n v="15000"/>
    <n v="135000"/>
    <n v="101250"/>
    <n v="33750"/>
    <x v="1"/>
  </r>
  <r>
    <s v="ORD425"/>
    <x v="424"/>
    <x v="3"/>
    <x v="5"/>
    <x v="0"/>
    <n v="6"/>
    <n v="3000"/>
    <n v="18000"/>
    <n v="13320"/>
    <n v="4680"/>
    <x v="2"/>
  </r>
  <r>
    <s v="ORD426"/>
    <x v="425"/>
    <x v="3"/>
    <x v="3"/>
    <x v="2"/>
    <n v="8"/>
    <n v="500"/>
    <n v="4000"/>
    <n v="2640"/>
    <n v="1360"/>
    <x v="2"/>
  </r>
  <r>
    <s v="ORD427"/>
    <x v="426"/>
    <x v="3"/>
    <x v="3"/>
    <x v="2"/>
    <n v="9"/>
    <n v="500"/>
    <n v="4500"/>
    <n v="3060"/>
    <n v="1440"/>
    <x v="2"/>
  </r>
  <r>
    <s v="ORD428"/>
    <x v="427"/>
    <x v="3"/>
    <x v="7"/>
    <x v="2"/>
    <n v="7"/>
    <n v="8000"/>
    <n v="56000"/>
    <n v="46480"/>
    <n v="9520"/>
    <x v="2"/>
  </r>
  <r>
    <s v="ORD429"/>
    <x v="428"/>
    <x v="1"/>
    <x v="2"/>
    <x v="1"/>
    <n v="8"/>
    <n v="5000"/>
    <n v="40000"/>
    <n v="31200"/>
    <n v="8800"/>
    <x v="2"/>
  </r>
  <r>
    <s v="ORD430"/>
    <x v="429"/>
    <x v="2"/>
    <x v="5"/>
    <x v="0"/>
    <n v="9"/>
    <n v="3000"/>
    <n v="27000"/>
    <n v="21330"/>
    <n v="5670"/>
    <x v="2"/>
  </r>
  <r>
    <s v="ORD431"/>
    <x v="430"/>
    <x v="1"/>
    <x v="6"/>
    <x v="1"/>
    <n v="10"/>
    <n v="10000"/>
    <n v="100000"/>
    <n v="76000"/>
    <n v="24000"/>
    <x v="2"/>
  </r>
  <r>
    <s v="ORD432"/>
    <x v="431"/>
    <x v="0"/>
    <x v="2"/>
    <x v="1"/>
    <n v="1"/>
    <n v="5000"/>
    <n v="5000"/>
    <n v="3900"/>
    <n v="1100"/>
    <x v="2"/>
  </r>
  <r>
    <s v="ORD433"/>
    <x v="432"/>
    <x v="2"/>
    <x v="5"/>
    <x v="0"/>
    <n v="10"/>
    <n v="3000"/>
    <n v="30000"/>
    <n v="24600"/>
    <n v="5400"/>
    <x v="2"/>
  </r>
  <r>
    <s v="ORD434"/>
    <x v="433"/>
    <x v="2"/>
    <x v="6"/>
    <x v="1"/>
    <n v="4"/>
    <n v="10000"/>
    <n v="40000"/>
    <n v="26000"/>
    <n v="14000"/>
    <x v="2"/>
  </r>
  <r>
    <s v="ORD435"/>
    <x v="434"/>
    <x v="0"/>
    <x v="3"/>
    <x v="2"/>
    <n v="9"/>
    <n v="500"/>
    <n v="4500"/>
    <n v="3240"/>
    <n v="1260"/>
    <x v="2"/>
  </r>
  <r>
    <s v="ORD436"/>
    <x v="435"/>
    <x v="3"/>
    <x v="6"/>
    <x v="1"/>
    <n v="1"/>
    <n v="10000"/>
    <n v="10000"/>
    <n v="6700"/>
    <n v="3300"/>
    <x v="2"/>
  </r>
  <r>
    <s v="ORD437"/>
    <x v="436"/>
    <x v="1"/>
    <x v="1"/>
    <x v="0"/>
    <n v="5"/>
    <n v="15000"/>
    <n v="75000"/>
    <n v="53250"/>
    <n v="21750"/>
    <x v="2"/>
  </r>
  <r>
    <s v="ORD438"/>
    <x v="437"/>
    <x v="2"/>
    <x v="0"/>
    <x v="0"/>
    <n v="4"/>
    <n v="20000"/>
    <n v="80000"/>
    <n v="53600"/>
    <n v="26400"/>
    <x v="2"/>
  </r>
  <r>
    <s v="ORD439"/>
    <x v="438"/>
    <x v="0"/>
    <x v="7"/>
    <x v="2"/>
    <n v="2"/>
    <n v="8000"/>
    <n v="16000"/>
    <n v="12960"/>
    <n v="3040"/>
    <x v="2"/>
  </r>
  <r>
    <s v="ORD440"/>
    <x v="439"/>
    <x v="1"/>
    <x v="5"/>
    <x v="0"/>
    <n v="3"/>
    <n v="3000"/>
    <n v="9000"/>
    <n v="7470"/>
    <n v="1530"/>
    <x v="2"/>
  </r>
  <r>
    <s v="ORD441"/>
    <x v="440"/>
    <x v="3"/>
    <x v="3"/>
    <x v="2"/>
    <n v="8"/>
    <n v="500"/>
    <n v="4000"/>
    <n v="3080"/>
    <n v="920"/>
    <x v="2"/>
  </r>
  <r>
    <s v="ORD442"/>
    <x v="441"/>
    <x v="2"/>
    <x v="6"/>
    <x v="1"/>
    <n v="1"/>
    <n v="10000"/>
    <n v="10000"/>
    <n v="8400"/>
    <n v="1600"/>
    <x v="2"/>
  </r>
  <r>
    <s v="ORD443"/>
    <x v="442"/>
    <x v="0"/>
    <x v="6"/>
    <x v="1"/>
    <n v="10"/>
    <n v="10000"/>
    <n v="100000"/>
    <n v="73000"/>
    <n v="27000"/>
    <x v="2"/>
  </r>
  <r>
    <s v="ORD444"/>
    <x v="443"/>
    <x v="1"/>
    <x v="7"/>
    <x v="2"/>
    <n v="9"/>
    <n v="8000"/>
    <n v="72000"/>
    <n v="61200"/>
    <n v="10800"/>
    <x v="2"/>
  </r>
  <r>
    <s v="ORD445"/>
    <x v="444"/>
    <x v="2"/>
    <x v="7"/>
    <x v="2"/>
    <n v="6"/>
    <n v="8000"/>
    <n v="48000"/>
    <n v="36960"/>
    <n v="11040"/>
    <x v="2"/>
  </r>
  <r>
    <s v="ORD446"/>
    <x v="445"/>
    <x v="3"/>
    <x v="1"/>
    <x v="0"/>
    <n v="3"/>
    <n v="15000"/>
    <n v="45000"/>
    <n v="29700"/>
    <n v="15300"/>
    <x v="2"/>
  </r>
  <r>
    <s v="ORD447"/>
    <x v="446"/>
    <x v="3"/>
    <x v="0"/>
    <x v="0"/>
    <n v="2"/>
    <n v="20000"/>
    <n v="40000"/>
    <n v="27600"/>
    <n v="12400"/>
    <x v="2"/>
  </r>
  <r>
    <s v="ORD448"/>
    <x v="447"/>
    <x v="1"/>
    <x v="6"/>
    <x v="1"/>
    <n v="5"/>
    <n v="10000"/>
    <n v="50000"/>
    <n v="40500"/>
    <n v="9500"/>
    <x v="2"/>
  </r>
  <r>
    <s v="ORD449"/>
    <x v="448"/>
    <x v="2"/>
    <x v="7"/>
    <x v="2"/>
    <n v="8"/>
    <n v="8000"/>
    <n v="64000"/>
    <n v="53120"/>
    <n v="10880"/>
    <x v="2"/>
  </r>
  <r>
    <s v="ORD450"/>
    <x v="449"/>
    <x v="2"/>
    <x v="5"/>
    <x v="0"/>
    <n v="10"/>
    <n v="3000"/>
    <n v="30000"/>
    <n v="24000"/>
    <n v="6000"/>
    <x v="2"/>
  </r>
  <r>
    <s v="ORD451"/>
    <x v="450"/>
    <x v="2"/>
    <x v="3"/>
    <x v="2"/>
    <n v="6"/>
    <n v="500"/>
    <n v="3000"/>
    <n v="1980"/>
    <n v="1020"/>
    <x v="2"/>
  </r>
  <r>
    <s v="ORD452"/>
    <x v="451"/>
    <x v="1"/>
    <x v="1"/>
    <x v="0"/>
    <n v="7"/>
    <n v="15000"/>
    <n v="105000"/>
    <n v="81900"/>
    <n v="23100"/>
    <x v="2"/>
  </r>
  <r>
    <s v="ORD453"/>
    <x v="452"/>
    <x v="0"/>
    <x v="6"/>
    <x v="1"/>
    <n v="9"/>
    <n v="10000"/>
    <n v="90000"/>
    <n v="73800"/>
    <n v="16200"/>
    <x v="2"/>
  </r>
  <r>
    <s v="ORD454"/>
    <x v="453"/>
    <x v="1"/>
    <x v="6"/>
    <x v="1"/>
    <n v="1"/>
    <n v="10000"/>
    <n v="10000"/>
    <n v="6800"/>
    <n v="3200"/>
    <x v="2"/>
  </r>
  <r>
    <s v="ORD455"/>
    <x v="454"/>
    <x v="1"/>
    <x v="7"/>
    <x v="2"/>
    <n v="6"/>
    <n v="8000"/>
    <n v="48000"/>
    <n v="36480"/>
    <n v="11520"/>
    <x v="2"/>
  </r>
  <r>
    <s v="ORD456"/>
    <x v="455"/>
    <x v="2"/>
    <x v="0"/>
    <x v="0"/>
    <n v="8"/>
    <n v="20000"/>
    <n v="160000"/>
    <n v="124800"/>
    <n v="35200"/>
    <x v="3"/>
  </r>
  <r>
    <s v="ORD457"/>
    <x v="456"/>
    <x v="1"/>
    <x v="1"/>
    <x v="0"/>
    <n v="3"/>
    <n v="15000"/>
    <n v="45000"/>
    <n v="31950"/>
    <n v="13050"/>
    <x v="3"/>
  </r>
  <r>
    <s v="ORD458"/>
    <x v="457"/>
    <x v="0"/>
    <x v="0"/>
    <x v="0"/>
    <n v="7"/>
    <n v="20000"/>
    <n v="140000"/>
    <n v="95200"/>
    <n v="44800"/>
    <x v="3"/>
  </r>
  <r>
    <s v="ORD459"/>
    <x v="458"/>
    <x v="1"/>
    <x v="4"/>
    <x v="0"/>
    <n v="6"/>
    <n v="50000"/>
    <n v="300000"/>
    <n v="216000"/>
    <n v="84000"/>
    <x v="3"/>
  </r>
  <r>
    <s v="ORD460"/>
    <x v="459"/>
    <x v="2"/>
    <x v="1"/>
    <x v="0"/>
    <n v="5"/>
    <n v="15000"/>
    <n v="75000"/>
    <n v="63000"/>
    <n v="12000"/>
    <x v="3"/>
  </r>
  <r>
    <s v="ORD461"/>
    <x v="460"/>
    <x v="3"/>
    <x v="5"/>
    <x v="0"/>
    <n v="7"/>
    <n v="3000"/>
    <n v="21000"/>
    <n v="14490"/>
    <n v="6510"/>
    <x v="3"/>
  </r>
  <r>
    <s v="ORD462"/>
    <x v="461"/>
    <x v="2"/>
    <x v="2"/>
    <x v="1"/>
    <n v="3"/>
    <n v="5000"/>
    <n v="15000"/>
    <n v="10950"/>
    <n v="4050"/>
    <x v="3"/>
  </r>
  <r>
    <s v="ORD463"/>
    <x v="462"/>
    <x v="3"/>
    <x v="1"/>
    <x v="0"/>
    <n v="6"/>
    <n v="15000"/>
    <n v="90000"/>
    <n v="67500"/>
    <n v="22500"/>
    <x v="3"/>
  </r>
  <r>
    <s v="ORD464"/>
    <x v="463"/>
    <x v="0"/>
    <x v="0"/>
    <x v="0"/>
    <n v="10"/>
    <n v="20000"/>
    <n v="200000"/>
    <n v="138000"/>
    <n v="62000"/>
    <x v="3"/>
  </r>
  <r>
    <s v="ORD465"/>
    <x v="464"/>
    <x v="0"/>
    <x v="3"/>
    <x v="2"/>
    <n v="6"/>
    <n v="500"/>
    <n v="3000"/>
    <n v="2310"/>
    <n v="690"/>
    <x v="3"/>
  </r>
  <r>
    <s v="ORD466"/>
    <x v="465"/>
    <x v="2"/>
    <x v="6"/>
    <x v="1"/>
    <n v="7"/>
    <n v="10000"/>
    <n v="70000"/>
    <n v="58100"/>
    <n v="11900"/>
    <x v="3"/>
  </r>
  <r>
    <s v="ORD467"/>
    <x v="466"/>
    <x v="0"/>
    <x v="7"/>
    <x v="2"/>
    <n v="9"/>
    <n v="8000"/>
    <n v="72000"/>
    <n v="51840"/>
    <n v="20160"/>
    <x v="3"/>
  </r>
  <r>
    <s v="ORD468"/>
    <x v="467"/>
    <x v="2"/>
    <x v="0"/>
    <x v="0"/>
    <n v="8"/>
    <n v="20000"/>
    <n v="160000"/>
    <n v="129600"/>
    <n v="30400"/>
    <x v="3"/>
  </r>
  <r>
    <s v="ORD469"/>
    <x v="468"/>
    <x v="0"/>
    <x v="4"/>
    <x v="0"/>
    <n v="5"/>
    <n v="50000"/>
    <n v="250000"/>
    <n v="187500"/>
    <n v="62500"/>
    <x v="3"/>
  </r>
  <r>
    <s v="ORD470"/>
    <x v="469"/>
    <x v="0"/>
    <x v="1"/>
    <x v="0"/>
    <n v="4"/>
    <n v="15000"/>
    <n v="60000"/>
    <n v="50400"/>
    <n v="9600"/>
    <x v="3"/>
  </r>
  <r>
    <s v="ORD471"/>
    <x v="470"/>
    <x v="2"/>
    <x v="0"/>
    <x v="0"/>
    <n v="2"/>
    <n v="20000"/>
    <n v="40000"/>
    <n v="32000"/>
    <n v="8000"/>
    <x v="3"/>
  </r>
  <r>
    <s v="ORD472"/>
    <x v="471"/>
    <x v="2"/>
    <x v="4"/>
    <x v="0"/>
    <n v="8"/>
    <n v="50000"/>
    <n v="400000"/>
    <n v="264000"/>
    <n v="136000"/>
    <x v="3"/>
  </r>
  <r>
    <s v="ORD473"/>
    <x v="472"/>
    <x v="0"/>
    <x v="4"/>
    <x v="0"/>
    <n v="1"/>
    <n v="50000"/>
    <n v="50000"/>
    <n v="41500"/>
    <n v="8500"/>
    <x v="3"/>
  </r>
  <r>
    <s v="ORD474"/>
    <x v="473"/>
    <x v="2"/>
    <x v="3"/>
    <x v="2"/>
    <n v="3"/>
    <n v="500"/>
    <n v="1500"/>
    <n v="1020"/>
    <n v="480"/>
    <x v="3"/>
  </r>
  <r>
    <s v="ORD475"/>
    <x v="474"/>
    <x v="2"/>
    <x v="3"/>
    <x v="2"/>
    <n v="5"/>
    <n v="500"/>
    <n v="2500"/>
    <n v="1800"/>
    <n v="700"/>
    <x v="3"/>
  </r>
  <r>
    <s v="ORD476"/>
    <x v="475"/>
    <x v="0"/>
    <x v="2"/>
    <x v="1"/>
    <n v="3"/>
    <n v="5000"/>
    <n v="15000"/>
    <n v="11100"/>
    <n v="3900"/>
    <x v="3"/>
  </r>
  <r>
    <s v="ORD477"/>
    <x v="476"/>
    <x v="3"/>
    <x v="7"/>
    <x v="2"/>
    <n v="7"/>
    <n v="8000"/>
    <n v="56000"/>
    <n v="45360"/>
    <n v="10640"/>
    <x v="3"/>
  </r>
  <r>
    <s v="ORD478"/>
    <x v="477"/>
    <x v="1"/>
    <x v="3"/>
    <x v="2"/>
    <n v="9"/>
    <n v="500"/>
    <n v="4500"/>
    <n v="3555"/>
    <n v="945"/>
    <x v="3"/>
  </r>
  <r>
    <s v="ORD479"/>
    <x v="478"/>
    <x v="2"/>
    <x v="5"/>
    <x v="0"/>
    <n v="9"/>
    <n v="3000"/>
    <n v="27000"/>
    <n v="21870"/>
    <n v="5130"/>
    <x v="3"/>
  </r>
  <r>
    <s v="ORD480"/>
    <x v="479"/>
    <x v="0"/>
    <x v="4"/>
    <x v="0"/>
    <n v="6"/>
    <n v="50000"/>
    <n v="300000"/>
    <n v="216000"/>
    <n v="84000"/>
    <x v="3"/>
  </r>
  <r>
    <s v="ORD481"/>
    <x v="480"/>
    <x v="0"/>
    <x v="5"/>
    <x v="0"/>
    <n v="3"/>
    <n v="3000"/>
    <n v="9000"/>
    <n v="6480"/>
    <n v="2520"/>
    <x v="3"/>
  </r>
  <r>
    <s v="ORD482"/>
    <x v="481"/>
    <x v="3"/>
    <x v="1"/>
    <x v="0"/>
    <n v="8"/>
    <n v="15000"/>
    <n v="120000"/>
    <n v="88800"/>
    <n v="31200"/>
    <x v="3"/>
  </r>
  <r>
    <s v="ORD483"/>
    <x v="482"/>
    <x v="3"/>
    <x v="0"/>
    <x v="0"/>
    <n v="2"/>
    <n v="20000"/>
    <n v="40000"/>
    <n v="33600"/>
    <n v="6400"/>
    <x v="3"/>
  </r>
  <r>
    <s v="ORD484"/>
    <x v="483"/>
    <x v="0"/>
    <x v="0"/>
    <x v="0"/>
    <n v="5"/>
    <n v="20000"/>
    <n v="100000"/>
    <n v="67000"/>
    <n v="33000"/>
    <x v="3"/>
  </r>
  <r>
    <s v="ORD485"/>
    <x v="484"/>
    <x v="1"/>
    <x v="0"/>
    <x v="0"/>
    <n v="6"/>
    <n v="20000"/>
    <n v="120000"/>
    <n v="78000"/>
    <n v="42000"/>
    <x v="3"/>
  </r>
  <r>
    <s v="ORD486"/>
    <x v="485"/>
    <x v="0"/>
    <x v="4"/>
    <x v="0"/>
    <n v="2"/>
    <n v="50000"/>
    <n v="100000"/>
    <n v="83000"/>
    <n v="17000"/>
    <x v="3"/>
  </r>
  <r>
    <s v="ORD487"/>
    <x v="486"/>
    <x v="2"/>
    <x v="0"/>
    <x v="0"/>
    <n v="7"/>
    <n v="20000"/>
    <n v="140000"/>
    <n v="113400"/>
    <n v="26600"/>
    <x v="4"/>
  </r>
  <r>
    <s v="ORD488"/>
    <x v="487"/>
    <x v="0"/>
    <x v="0"/>
    <x v="0"/>
    <n v="7"/>
    <n v="20000"/>
    <n v="140000"/>
    <n v="113400"/>
    <n v="26600"/>
    <x v="4"/>
  </r>
  <r>
    <s v="ORD489"/>
    <x v="488"/>
    <x v="1"/>
    <x v="4"/>
    <x v="0"/>
    <n v="10"/>
    <n v="50000"/>
    <n v="500000"/>
    <n v="345000"/>
    <n v="155000"/>
    <x v="4"/>
  </r>
  <r>
    <s v="ORD490"/>
    <x v="489"/>
    <x v="1"/>
    <x v="2"/>
    <x v="1"/>
    <n v="3"/>
    <n v="5000"/>
    <n v="15000"/>
    <n v="10050"/>
    <n v="4950"/>
    <x v="4"/>
  </r>
  <r>
    <s v="ORD491"/>
    <x v="490"/>
    <x v="2"/>
    <x v="5"/>
    <x v="0"/>
    <n v="7"/>
    <n v="3000"/>
    <n v="21000"/>
    <n v="15960"/>
    <n v="5040"/>
    <x v="4"/>
  </r>
  <r>
    <s v="ORD492"/>
    <x v="491"/>
    <x v="3"/>
    <x v="1"/>
    <x v="0"/>
    <n v="8"/>
    <n v="15000"/>
    <n v="120000"/>
    <n v="94800"/>
    <n v="25200"/>
    <x v="4"/>
  </r>
  <r>
    <s v="ORD493"/>
    <x v="492"/>
    <x v="3"/>
    <x v="3"/>
    <x v="2"/>
    <n v="5"/>
    <n v="500"/>
    <n v="2500"/>
    <n v="2050"/>
    <n v="450"/>
    <x v="4"/>
  </r>
  <r>
    <s v="ORD494"/>
    <x v="493"/>
    <x v="0"/>
    <x v="7"/>
    <x v="2"/>
    <n v="1"/>
    <n v="8000"/>
    <n v="8000"/>
    <n v="6400"/>
    <n v="1600"/>
    <x v="4"/>
  </r>
  <r>
    <s v="ORD495"/>
    <x v="494"/>
    <x v="2"/>
    <x v="3"/>
    <x v="2"/>
    <n v="2"/>
    <n v="500"/>
    <n v="1000"/>
    <n v="710"/>
    <n v="290"/>
    <x v="4"/>
  </r>
  <r>
    <s v="ORD496"/>
    <x v="495"/>
    <x v="1"/>
    <x v="1"/>
    <x v="0"/>
    <n v="9"/>
    <n v="15000"/>
    <n v="135000"/>
    <n v="101250"/>
    <n v="33750"/>
    <x v="4"/>
  </r>
  <r>
    <s v="ORD497"/>
    <x v="496"/>
    <x v="0"/>
    <x v="5"/>
    <x v="0"/>
    <n v="3"/>
    <n v="3000"/>
    <n v="9000"/>
    <n v="6480"/>
    <n v="2520"/>
    <x v="4"/>
  </r>
  <r>
    <s v="ORD498"/>
    <x v="497"/>
    <x v="2"/>
    <x v="5"/>
    <x v="0"/>
    <n v="6"/>
    <n v="3000"/>
    <n v="18000"/>
    <n v="14940"/>
    <n v="3060"/>
    <x v="4"/>
  </r>
  <r>
    <s v="ORD499"/>
    <x v="498"/>
    <x v="3"/>
    <x v="3"/>
    <x v="2"/>
    <n v="8"/>
    <n v="500"/>
    <n v="4000"/>
    <n v="2800"/>
    <n v="1200"/>
    <x v="4"/>
  </r>
  <r>
    <s v="ORD500"/>
    <x v="499"/>
    <x v="3"/>
    <x v="0"/>
    <x v="0"/>
    <n v="3"/>
    <n v="20000"/>
    <n v="60000"/>
    <n v="46800"/>
    <n v="132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02660B-7EA5-4072-8E2D-005C96F3272A}"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11">
    <pivotField showAll="0"/>
    <pivotField showAll="0"/>
    <pivotField axis="axisRow" showAll="0">
      <items count="5">
        <item h="1" x="1"/>
        <item h="1" x="0"/>
        <item x="3"/>
        <item h="1" x="2"/>
        <item t="default"/>
      </items>
    </pivotField>
    <pivotField showAll="0"/>
    <pivotField axis="axisRow" showAll="0">
      <items count="4">
        <item x="0"/>
        <item x="1"/>
        <item x="2"/>
        <item t="default"/>
      </items>
    </pivotField>
    <pivotField showAll="0"/>
    <pivotField showAll="0"/>
    <pivotField dataField="1" showAll="0"/>
    <pivotField showAll="0"/>
    <pivotField dataField="1" showAll="0"/>
    <pivotField showAll="0"/>
  </pivotFields>
  <rowFields count="2">
    <field x="2"/>
    <field x="4"/>
  </rowFields>
  <rowItems count="5">
    <i>
      <x v="2"/>
    </i>
    <i r="1">
      <x/>
    </i>
    <i r="1">
      <x v="1"/>
    </i>
    <i r="1">
      <x v="2"/>
    </i>
    <i t="grand">
      <x/>
    </i>
  </rowItems>
  <colFields count="1">
    <field x="-2"/>
  </colFields>
  <colItems count="2">
    <i>
      <x/>
    </i>
    <i i="1">
      <x v="1"/>
    </i>
  </colItems>
  <dataFields count="2">
    <dataField name="Sum of Sales" fld="7" baseField="0" baseItem="0"/>
    <dataField name="Sum of Profit" fld="9"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ADD626-E8D9-43A3-B604-05B5273F838B}"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3:S12" firstHeaderRow="1" firstDataRow="1" firstDataCol="1"/>
  <pivotFields count="11">
    <pivotField showAll="0"/>
    <pivotField numFmtId="14" showAll="0"/>
    <pivotField showAll="0"/>
    <pivotField axis="axisRow" showAll="0" sortType="descending">
      <items count="9">
        <item x="2"/>
        <item x="5"/>
        <item x="4"/>
        <item x="0"/>
        <item x="1"/>
        <item x="3"/>
        <item x="7"/>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3"/>
  </rowFields>
  <rowItems count="9">
    <i>
      <x v="2"/>
    </i>
    <i>
      <x v="3"/>
    </i>
    <i>
      <x v="4"/>
    </i>
    <i>
      <x v="7"/>
    </i>
    <i>
      <x v="6"/>
    </i>
    <i>
      <x/>
    </i>
    <i>
      <x v="1"/>
    </i>
    <i>
      <x v="5"/>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3EF693-3551-4EA0-9A7C-18334FFFB521}"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G16" firstHeaderRow="1" firstDataRow="1" firstDataCol="1"/>
  <pivotFields count="11">
    <pivotField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dataField="1" showAll="0"/>
    <pivotField showAll="0"/>
    <pivotField showAll="0"/>
    <pivotField axis="axisRow" showAll="0">
      <items count="13">
        <item x="3"/>
        <item x="4"/>
        <item x="5"/>
        <item x="6"/>
        <item x="7"/>
        <item x="8"/>
        <item x="9"/>
        <item x="10"/>
        <item x="11"/>
        <item x="0"/>
        <item x="1"/>
        <item x="2"/>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240927-7846-41F5-A756-EFB32327E1FC}" sourceName="Category">
  <pivotTables>
    <pivotTable tabId="2" name="PivotTable1"/>
  </pivotTables>
  <data>
    <tabular pivotCacheId="120075148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F77284-169A-472E-B28D-383DC0B1D99E}" sourceName="Region">
  <pivotTables>
    <pivotTable tabId="2" name="PivotTable1"/>
  </pivotTables>
  <data>
    <tabular pivotCacheId="1200751487">
      <items count="4">
        <i x="1"/>
        <i x="0"/>
        <i x="3"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D4D873C-F2D6-4400-BC9F-BCB10F058BB2}" cache="Slicer_Category" caption="Category" rowHeight="241300"/>
  <slicer name="Region" xr10:uid="{C854D17A-5C96-4CDC-807E-30723F9CEA5E}"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949270-9F42-4578-ACC6-4C0AD7B1C175}" name="Table1" displayName="Table1" ref="A1:K501" totalsRowShown="0">
  <autoFilter ref="A1:K501" xr:uid="{96949270-9F42-4578-ACC6-4C0AD7B1C175}"/>
  <sortState xmlns:xlrd2="http://schemas.microsoft.com/office/spreadsheetml/2017/richdata2" ref="A2:K501">
    <sortCondition descending="1" ref="H5:H501"/>
  </sortState>
  <tableColumns count="11">
    <tableColumn id="1" xr3:uid="{7916D673-561E-4EC6-961B-6787ABF34406}" name="Order ID"/>
    <tableColumn id="2" xr3:uid="{EC022598-613F-41C0-9E51-7E044D1F8117}" name="Date"/>
    <tableColumn id="3" xr3:uid="{211FB63B-7BCC-4F72-A691-D6101A32A5A9}" name="Region"/>
    <tableColumn id="4" xr3:uid="{CAA8A969-D947-4BE3-B5A1-BF22BC815E86}" name="Product"/>
    <tableColumn id="5" xr3:uid="{CA97662F-4303-4E7D-B51A-17C6643DA81B}" name="Category"/>
    <tableColumn id="6" xr3:uid="{FBC874BC-A3D9-42CA-815F-E58FE23D76FB}" name="Quantity"/>
    <tableColumn id="7" xr3:uid="{DD0F1F06-C5E3-4B5E-9DAA-1ACBF278A679}" name="Unit Price"/>
    <tableColumn id="8" xr3:uid="{C33981B7-A897-459D-98F7-A026C9ED10CB}" name="Sales"/>
    <tableColumn id="9" xr3:uid="{745C206D-B6FD-4046-9351-902CB799C610}" name="Cost"/>
    <tableColumn id="10" xr3:uid="{3BF4235D-B6E7-419C-9AC9-8B82BBC96DA0}" name="Profit"/>
    <tableColumn id="11" xr3:uid="{0F145C37-0AB7-475E-9BFE-5CB30BEAEEFC}" name="Month" dataDxfId="0">
      <calculatedColumnFormula>TEXT(B2,"mmm")</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3F614-7510-473E-A072-40423B484AEA}">
  <dimension ref="A3:S16"/>
  <sheetViews>
    <sheetView workbookViewId="0">
      <selection activeCell="A8" sqref="A8"/>
    </sheetView>
  </sheetViews>
  <sheetFormatPr defaultRowHeight="15" x14ac:dyDescent="0.25"/>
  <cols>
    <col min="1" max="1" width="18.28515625" bestFit="1" customWidth="1"/>
    <col min="2" max="2" width="12.140625" bestFit="1" customWidth="1"/>
    <col min="3" max="3" width="12.5703125" bestFit="1" customWidth="1"/>
    <col min="6" max="6" width="13.140625" bestFit="1" customWidth="1"/>
    <col min="7" max="7" width="12.140625" bestFit="1" customWidth="1"/>
    <col min="18" max="18" width="13.140625" bestFit="1" customWidth="1"/>
    <col min="19" max="19" width="12.140625" bestFit="1" customWidth="1"/>
  </cols>
  <sheetData>
    <row r="3" spans="1:19" x14ac:dyDescent="0.25">
      <c r="A3" s="1" t="s">
        <v>526</v>
      </c>
      <c r="B3" t="s">
        <v>525</v>
      </c>
      <c r="C3" t="s">
        <v>528</v>
      </c>
      <c r="F3" s="1" t="s">
        <v>526</v>
      </c>
      <c r="G3" t="s">
        <v>525</v>
      </c>
      <c r="R3" s="1" t="s">
        <v>526</v>
      </c>
      <c r="S3" t="s">
        <v>525</v>
      </c>
    </row>
    <row r="4" spans="1:19" x14ac:dyDescent="0.25">
      <c r="A4" s="2" t="s">
        <v>27</v>
      </c>
      <c r="B4" s="5">
        <v>12550000</v>
      </c>
      <c r="C4" s="5">
        <v>3156690</v>
      </c>
      <c r="F4" s="2" t="s">
        <v>533</v>
      </c>
      <c r="G4" s="5">
        <v>5541000</v>
      </c>
      <c r="R4" s="2" t="s">
        <v>30</v>
      </c>
      <c r="S4" s="5">
        <v>20750000</v>
      </c>
    </row>
    <row r="5" spans="1:19" x14ac:dyDescent="0.25">
      <c r="A5" s="3" t="s">
        <v>13</v>
      </c>
      <c r="B5" s="5">
        <v>10471000</v>
      </c>
      <c r="C5" s="5">
        <v>2623630</v>
      </c>
      <c r="F5" s="2" t="s">
        <v>534</v>
      </c>
      <c r="G5" s="5">
        <v>5033500</v>
      </c>
      <c r="R5" s="2" t="s">
        <v>12</v>
      </c>
      <c r="S5" s="5">
        <v>6080000</v>
      </c>
    </row>
    <row r="6" spans="1:19" x14ac:dyDescent="0.25">
      <c r="A6" s="3" t="s">
        <v>21</v>
      </c>
      <c r="B6" s="5">
        <v>1645000</v>
      </c>
      <c r="C6" s="5">
        <v>435500</v>
      </c>
      <c r="F6" s="2" t="s">
        <v>535</v>
      </c>
      <c r="G6" s="5">
        <v>2099500</v>
      </c>
      <c r="R6" s="2" t="s">
        <v>16</v>
      </c>
      <c r="S6" s="5">
        <v>4380000</v>
      </c>
    </row>
    <row r="7" spans="1:19" x14ac:dyDescent="0.25">
      <c r="A7" s="3" t="s">
        <v>24</v>
      </c>
      <c r="B7" s="5">
        <v>434000</v>
      </c>
      <c r="C7" s="5">
        <v>97560</v>
      </c>
      <c r="F7" s="2" t="s">
        <v>536</v>
      </c>
      <c r="G7" s="5">
        <v>2230500</v>
      </c>
      <c r="R7" s="2" t="s">
        <v>36</v>
      </c>
      <c r="S7" s="5">
        <v>3910000</v>
      </c>
    </row>
    <row r="8" spans="1:19" x14ac:dyDescent="0.25">
      <c r="A8" s="2" t="s">
        <v>527</v>
      </c>
      <c r="B8" s="5">
        <v>12550000</v>
      </c>
      <c r="C8" s="5">
        <v>3156690</v>
      </c>
      <c r="F8" s="2" t="s">
        <v>537</v>
      </c>
      <c r="G8" s="5">
        <v>2256000</v>
      </c>
      <c r="R8" s="2" t="s">
        <v>49</v>
      </c>
      <c r="S8" s="5">
        <v>2016000</v>
      </c>
    </row>
    <row r="9" spans="1:19" x14ac:dyDescent="0.25">
      <c r="F9" s="2" t="s">
        <v>538</v>
      </c>
      <c r="G9" s="5">
        <v>1924500</v>
      </c>
      <c r="R9" s="2" t="s">
        <v>20</v>
      </c>
      <c r="S9" s="5">
        <v>1875000</v>
      </c>
    </row>
    <row r="10" spans="1:19" x14ac:dyDescent="0.25">
      <c r="F10" s="2" t="s">
        <v>539</v>
      </c>
      <c r="G10" s="5">
        <v>2130500</v>
      </c>
      <c r="R10" s="2" t="s">
        <v>34</v>
      </c>
      <c r="S10" s="5">
        <v>1113000</v>
      </c>
    </row>
    <row r="11" spans="1:19" x14ac:dyDescent="0.25">
      <c r="F11" s="2" t="s">
        <v>540</v>
      </c>
      <c r="G11" s="5">
        <v>2536500</v>
      </c>
      <c r="R11" s="2" t="s">
        <v>23</v>
      </c>
      <c r="S11" s="5">
        <v>216000</v>
      </c>
    </row>
    <row r="12" spans="1:19" x14ac:dyDescent="0.25">
      <c r="F12" s="2" t="s">
        <v>541</v>
      </c>
      <c r="G12" s="5">
        <v>2191000</v>
      </c>
      <c r="R12" s="2" t="s">
        <v>527</v>
      </c>
      <c r="S12" s="5">
        <v>40340000</v>
      </c>
    </row>
    <row r="13" spans="1:19" x14ac:dyDescent="0.25">
      <c r="F13" s="2" t="s">
        <v>530</v>
      </c>
      <c r="G13" s="5">
        <v>4986500</v>
      </c>
    </row>
    <row r="14" spans="1:19" x14ac:dyDescent="0.25">
      <c r="F14" s="2" t="s">
        <v>531</v>
      </c>
      <c r="G14" s="5">
        <v>5824500</v>
      </c>
    </row>
    <row r="15" spans="1:19" x14ac:dyDescent="0.25">
      <c r="F15" s="2" t="s">
        <v>532</v>
      </c>
      <c r="G15" s="5">
        <v>3586000</v>
      </c>
    </row>
    <row r="16" spans="1:19" x14ac:dyDescent="0.25">
      <c r="F16" s="2" t="s">
        <v>527</v>
      </c>
      <c r="G16" s="5">
        <v>40340000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E96C3-0AF4-4F36-923B-DC986CB8DC81}">
  <dimension ref="B1:E3"/>
  <sheetViews>
    <sheetView tabSelected="1" topLeftCell="B1" zoomScale="70" zoomScaleNormal="70" workbookViewId="0">
      <selection activeCell="N24" sqref="N24"/>
    </sheetView>
  </sheetViews>
  <sheetFormatPr defaultColWidth="21.42578125" defaultRowHeight="15" x14ac:dyDescent="0.25"/>
  <sheetData>
    <row r="1" spans="2:5" ht="21" x14ac:dyDescent="0.35">
      <c r="B1" s="6" t="s">
        <v>546</v>
      </c>
      <c r="C1" s="6"/>
      <c r="D1" s="6"/>
      <c r="E1" s="6"/>
    </row>
    <row r="2" spans="2:5" x14ac:dyDescent="0.25">
      <c r="B2" s="7" t="s">
        <v>542</v>
      </c>
      <c r="C2" s="7" t="s">
        <v>543</v>
      </c>
      <c r="D2" s="7" t="s">
        <v>544</v>
      </c>
      <c r="E2" s="7" t="s">
        <v>545</v>
      </c>
    </row>
    <row r="3" spans="2:5" x14ac:dyDescent="0.25">
      <c r="B3" s="8">
        <f>SUM(Sales_Data!H:H)</f>
        <v>40340000</v>
      </c>
      <c r="C3" s="8">
        <f>SUM(Sales_Data!J:J)</f>
        <v>10118885</v>
      </c>
      <c r="D3" s="9">
        <f>COUNTA(Sales_Data!A:A)-1</f>
        <v>500</v>
      </c>
      <c r="E3" s="8">
        <f>AVERAGE(Sales_Data!H:H)</f>
        <v>80680</v>
      </c>
    </row>
  </sheetData>
  <mergeCells count="1">
    <mergeCell ref="B1:E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topLeftCell="A2" zoomScale="97" workbookViewId="0">
      <selection activeCell="E6" sqref="E6"/>
    </sheetView>
  </sheetViews>
  <sheetFormatPr defaultColWidth="17" defaultRowHeight="15" x14ac:dyDescent="0.25"/>
  <sheetData>
    <row r="1" spans="1:11" x14ac:dyDescent="0.25">
      <c r="A1" t="s">
        <v>0</v>
      </c>
      <c r="B1" t="s">
        <v>1</v>
      </c>
      <c r="C1" t="s">
        <v>2</v>
      </c>
      <c r="D1" t="s">
        <v>3</v>
      </c>
      <c r="E1" t="s">
        <v>4</v>
      </c>
      <c r="F1" t="s">
        <v>5</v>
      </c>
      <c r="G1" t="s">
        <v>6</v>
      </c>
      <c r="H1" t="s">
        <v>7</v>
      </c>
      <c r="I1" t="s">
        <v>8</v>
      </c>
      <c r="J1" t="s">
        <v>9</v>
      </c>
      <c r="K1" t="s">
        <v>529</v>
      </c>
    </row>
    <row r="2" spans="1:11" x14ac:dyDescent="0.25">
      <c r="A2" t="s">
        <v>54</v>
      </c>
      <c r="B2" s="4">
        <v>45962</v>
      </c>
      <c r="C2" t="s">
        <v>27</v>
      </c>
      <c r="D2" t="s">
        <v>30</v>
      </c>
      <c r="E2" t="s">
        <v>13</v>
      </c>
      <c r="F2">
        <v>10</v>
      </c>
      <c r="G2">
        <v>50000</v>
      </c>
      <c r="H2">
        <v>500000</v>
      </c>
      <c r="I2">
        <v>385000</v>
      </c>
      <c r="J2">
        <v>115000</v>
      </c>
      <c r="K2" t="str">
        <f>TEXT(B2,"mmm")</f>
        <v>Nov</v>
      </c>
    </row>
    <row r="3" spans="1:11" x14ac:dyDescent="0.25">
      <c r="A3" t="s">
        <v>107</v>
      </c>
      <c r="B3" s="4">
        <v>46015</v>
      </c>
      <c r="C3" t="s">
        <v>11</v>
      </c>
      <c r="D3" t="s">
        <v>30</v>
      </c>
      <c r="E3" t="s">
        <v>13</v>
      </c>
      <c r="F3">
        <v>10</v>
      </c>
      <c r="G3">
        <v>50000</v>
      </c>
      <c r="H3">
        <v>500000</v>
      </c>
      <c r="I3">
        <v>385000</v>
      </c>
      <c r="J3">
        <v>115000</v>
      </c>
      <c r="K3" t="str">
        <f>TEXT(B3,"mmm")</f>
        <v>Dec</v>
      </c>
    </row>
    <row r="4" spans="1:11" x14ac:dyDescent="0.25">
      <c r="A4" t="s">
        <v>161</v>
      </c>
      <c r="B4" s="4">
        <v>46069</v>
      </c>
      <c r="C4" t="s">
        <v>19</v>
      </c>
      <c r="D4" t="s">
        <v>30</v>
      </c>
      <c r="E4" t="s">
        <v>13</v>
      </c>
      <c r="F4">
        <v>10</v>
      </c>
      <c r="G4">
        <v>50000</v>
      </c>
      <c r="H4">
        <v>500000</v>
      </c>
      <c r="I4">
        <v>385000</v>
      </c>
      <c r="J4">
        <v>115000</v>
      </c>
      <c r="K4" t="str">
        <f>TEXT(B4,"mmm")</f>
        <v>Feb</v>
      </c>
    </row>
    <row r="5" spans="1:11" x14ac:dyDescent="0.25">
      <c r="A5" t="s">
        <v>283</v>
      </c>
      <c r="B5" s="4">
        <v>46191</v>
      </c>
      <c r="C5" t="s">
        <v>27</v>
      </c>
      <c r="D5" t="s">
        <v>30</v>
      </c>
      <c r="E5" t="s">
        <v>13</v>
      </c>
      <c r="F5">
        <v>10</v>
      </c>
      <c r="G5">
        <v>50000</v>
      </c>
      <c r="H5">
        <v>500000</v>
      </c>
      <c r="I5">
        <v>340000</v>
      </c>
      <c r="J5">
        <v>160000</v>
      </c>
      <c r="K5" t="str">
        <f>TEXT(B5,"mmm")</f>
        <v>Jun</v>
      </c>
    </row>
    <row r="6" spans="1:11" x14ac:dyDescent="0.25">
      <c r="A6" t="s">
        <v>350</v>
      </c>
      <c r="B6" s="4">
        <v>46258</v>
      </c>
      <c r="C6" t="s">
        <v>15</v>
      </c>
      <c r="D6" t="s">
        <v>30</v>
      </c>
      <c r="E6" t="s">
        <v>13</v>
      </c>
      <c r="F6">
        <v>10</v>
      </c>
      <c r="G6">
        <v>50000</v>
      </c>
      <c r="H6">
        <v>500000</v>
      </c>
      <c r="I6">
        <v>335000</v>
      </c>
      <c r="J6">
        <v>165000</v>
      </c>
      <c r="K6" t="str">
        <f>TEXT(B6,"mmm")</f>
        <v>Aug</v>
      </c>
    </row>
    <row r="7" spans="1:11" x14ac:dyDescent="0.25">
      <c r="A7" t="s">
        <v>402</v>
      </c>
      <c r="B7" s="4">
        <v>46310</v>
      </c>
      <c r="C7" t="s">
        <v>27</v>
      </c>
      <c r="D7" t="s">
        <v>30</v>
      </c>
      <c r="E7" t="s">
        <v>13</v>
      </c>
      <c r="F7">
        <v>10</v>
      </c>
      <c r="G7">
        <v>50000</v>
      </c>
      <c r="H7">
        <v>500000</v>
      </c>
      <c r="I7">
        <v>400000</v>
      </c>
      <c r="J7">
        <v>100000</v>
      </c>
      <c r="K7" t="str">
        <f>TEXT(B7,"mmm")</f>
        <v>Oct</v>
      </c>
    </row>
    <row r="8" spans="1:11" x14ac:dyDescent="0.25">
      <c r="A8" t="s">
        <v>513</v>
      </c>
      <c r="B8" s="4">
        <v>46421</v>
      </c>
      <c r="C8" t="s">
        <v>15</v>
      </c>
      <c r="D8" t="s">
        <v>30</v>
      </c>
      <c r="E8" t="s">
        <v>13</v>
      </c>
      <c r="F8">
        <v>10</v>
      </c>
      <c r="G8">
        <v>50000</v>
      </c>
      <c r="H8">
        <v>500000</v>
      </c>
      <c r="I8">
        <v>345000</v>
      </c>
      <c r="J8">
        <v>155000</v>
      </c>
      <c r="K8" t="str">
        <f>TEXT(B8,"mmm")</f>
        <v>Feb</v>
      </c>
    </row>
    <row r="9" spans="1:11" x14ac:dyDescent="0.25">
      <c r="A9" t="s">
        <v>82</v>
      </c>
      <c r="B9" s="4">
        <v>45990</v>
      </c>
      <c r="C9" t="s">
        <v>11</v>
      </c>
      <c r="D9" t="s">
        <v>30</v>
      </c>
      <c r="E9" t="s">
        <v>13</v>
      </c>
      <c r="F9">
        <v>9</v>
      </c>
      <c r="G9">
        <v>50000</v>
      </c>
      <c r="H9">
        <v>450000</v>
      </c>
      <c r="I9">
        <v>297000</v>
      </c>
      <c r="J9">
        <v>153000</v>
      </c>
      <c r="K9" t="str">
        <f>TEXT(B9,"mmm")</f>
        <v>Nov</v>
      </c>
    </row>
    <row r="10" spans="1:11" x14ac:dyDescent="0.25">
      <c r="A10" t="s">
        <v>156</v>
      </c>
      <c r="B10" s="4">
        <v>46064</v>
      </c>
      <c r="C10" t="s">
        <v>27</v>
      </c>
      <c r="D10" t="s">
        <v>30</v>
      </c>
      <c r="E10" t="s">
        <v>13</v>
      </c>
      <c r="F10">
        <v>9</v>
      </c>
      <c r="G10">
        <v>50000</v>
      </c>
      <c r="H10">
        <v>450000</v>
      </c>
      <c r="I10">
        <v>306000</v>
      </c>
      <c r="J10">
        <v>144000</v>
      </c>
      <c r="K10" t="str">
        <f>TEXT(B10,"mmm")</f>
        <v>Feb</v>
      </c>
    </row>
    <row r="11" spans="1:11" x14ac:dyDescent="0.25">
      <c r="A11" t="s">
        <v>167</v>
      </c>
      <c r="B11" s="4">
        <v>46075</v>
      </c>
      <c r="C11" t="s">
        <v>19</v>
      </c>
      <c r="D11" t="s">
        <v>30</v>
      </c>
      <c r="E11" t="s">
        <v>13</v>
      </c>
      <c r="F11">
        <v>9</v>
      </c>
      <c r="G11">
        <v>50000</v>
      </c>
      <c r="H11">
        <v>450000</v>
      </c>
      <c r="I11">
        <v>364500</v>
      </c>
      <c r="J11">
        <v>85500</v>
      </c>
      <c r="K11" t="str">
        <f>TEXT(B11,"mmm")</f>
        <v>Feb</v>
      </c>
    </row>
    <row r="12" spans="1:11" x14ac:dyDescent="0.25">
      <c r="A12" t="s">
        <v>260</v>
      </c>
      <c r="B12" s="4">
        <v>46168</v>
      </c>
      <c r="C12" t="s">
        <v>19</v>
      </c>
      <c r="D12" t="s">
        <v>30</v>
      </c>
      <c r="E12" t="s">
        <v>13</v>
      </c>
      <c r="F12">
        <v>9</v>
      </c>
      <c r="G12">
        <v>50000</v>
      </c>
      <c r="H12">
        <v>450000</v>
      </c>
      <c r="I12">
        <v>328500</v>
      </c>
      <c r="J12">
        <v>121500</v>
      </c>
      <c r="K12" t="str">
        <f>TEXT(B12,"mmm")</f>
        <v>May</v>
      </c>
    </row>
    <row r="13" spans="1:11" x14ac:dyDescent="0.25">
      <c r="A13" t="s">
        <v>418</v>
      </c>
      <c r="B13" s="4">
        <v>46326</v>
      </c>
      <c r="C13" t="s">
        <v>27</v>
      </c>
      <c r="D13" t="s">
        <v>30</v>
      </c>
      <c r="E13" t="s">
        <v>13</v>
      </c>
      <c r="F13">
        <v>9</v>
      </c>
      <c r="G13">
        <v>50000</v>
      </c>
      <c r="H13">
        <v>450000</v>
      </c>
      <c r="I13">
        <v>355500</v>
      </c>
      <c r="J13">
        <v>94500</v>
      </c>
      <c r="K13" t="str">
        <f>TEXT(B13,"mmm")</f>
        <v>Oct</v>
      </c>
    </row>
    <row r="14" spans="1:11" x14ac:dyDescent="0.25">
      <c r="A14" t="s">
        <v>52</v>
      </c>
      <c r="B14" s="4">
        <v>45960</v>
      </c>
      <c r="C14" t="s">
        <v>11</v>
      </c>
      <c r="D14" t="s">
        <v>30</v>
      </c>
      <c r="E14" t="s">
        <v>13</v>
      </c>
      <c r="F14">
        <v>8</v>
      </c>
      <c r="G14">
        <v>50000</v>
      </c>
      <c r="H14">
        <v>400000</v>
      </c>
      <c r="I14">
        <v>336000</v>
      </c>
      <c r="J14">
        <v>64000</v>
      </c>
      <c r="K14" t="str">
        <f>TEXT(B14,"mmm")</f>
        <v>Oct</v>
      </c>
    </row>
    <row r="15" spans="1:11" x14ac:dyDescent="0.25">
      <c r="A15" t="s">
        <v>58</v>
      </c>
      <c r="B15" s="4">
        <v>45966</v>
      </c>
      <c r="C15" t="s">
        <v>19</v>
      </c>
      <c r="D15" t="s">
        <v>30</v>
      </c>
      <c r="E15" t="s">
        <v>13</v>
      </c>
      <c r="F15">
        <v>8</v>
      </c>
      <c r="G15">
        <v>50000</v>
      </c>
      <c r="H15">
        <v>400000</v>
      </c>
      <c r="I15">
        <v>272000</v>
      </c>
      <c r="J15">
        <v>128000</v>
      </c>
      <c r="K15" t="str">
        <f>TEXT(B15,"mmm")</f>
        <v>Nov</v>
      </c>
    </row>
    <row r="16" spans="1:11" x14ac:dyDescent="0.25">
      <c r="A16" t="s">
        <v>144</v>
      </c>
      <c r="B16" s="4">
        <v>46052</v>
      </c>
      <c r="C16" t="s">
        <v>19</v>
      </c>
      <c r="D16" t="s">
        <v>30</v>
      </c>
      <c r="E16" t="s">
        <v>13</v>
      </c>
      <c r="F16">
        <v>8</v>
      </c>
      <c r="G16">
        <v>50000</v>
      </c>
      <c r="H16">
        <v>400000</v>
      </c>
      <c r="I16">
        <v>268000</v>
      </c>
      <c r="J16">
        <v>132000</v>
      </c>
      <c r="K16" t="str">
        <f>TEXT(B16,"mmm")</f>
        <v>Jan</v>
      </c>
    </row>
    <row r="17" spans="1:11" x14ac:dyDescent="0.25">
      <c r="A17" t="s">
        <v>164</v>
      </c>
      <c r="B17" s="4">
        <v>46072</v>
      </c>
      <c r="C17" t="s">
        <v>19</v>
      </c>
      <c r="D17" t="s">
        <v>30</v>
      </c>
      <c r="E17" t="s">
        <v>13</v>
      </c>
      <c r="F17">
        <v>8</v>
      </c>
      <c r="G17">
        <v>50000</v>
      </c>
      <c r="H17">
        <v>400000</v>
      </c>
      <c r="I17">
        <v>316000</v>
      </c>
      <c r="J17">
        <v>84000</v>
      </c>
      <c r="K17" t="str">
        <f>TEXT(B17,"mmm")</f>
        <v>Feb</v>
      </c>
    </row>
    <row r="18" spans="1:11" x14ac:dyDescent="0.25">
      <c r="A18" t="s">
        <v>184</v>
      </c>
      <c r="B18" s="4">
        <v>46092</v>
      </c>
      <c r="C18" t="s">
        <v>19</v>
      </c>
      <c r="D18" t="s">
        <v>30</v>
      </c>
      <c r="E18" t="s">
        <v>13</v>
      </c>
      <c r="F18">
        <v>8</v>
      </c>
      <c r="G18">
        <v>50000</v>
      </c>
      <c r="H18">
        <v>400000</v>
      </c>
      <c r="I18">
        <v>308000</v>
      </c>
      <c r="J18">
        <v>92000</v>
      </c>
      <c r="K18" t="str">
        <f>TEXT(B18,"mmm")</f>
        <v>Mar</v>
      </c>
    </row>
    <row r="19" spans="1:11" x14ac:dyDescent="0.25">
      <c r="A19" t="s">
        <v>226</v>
      </c>
      <c r="B19" s="4">
        <v>46134</v>
      </c>
      <c r="C19" t="s">
        <v>27</v>
      </c>
      <c r="D19" t="s">
        <v>30</v>
      </c>
      <c r="E19" t="s">
        <v>13</v>
      </c>
      <c r="F19">
        <v>8</v>
      </c>
      <c r="G19">
        <v>50000</v>
      </c>
      <c r="H19">
        <v>400000</v>
      </c>
      <c r="I19">
        <v>268000</v>
      </c>
      <c r="J19">
        <v>132000</v>
      </c>
      <c r="K19" t="str">
        <f>TEXT(B19,"mmm")</f>
        <v>Apr</v>
      </c>
    </row>
    <row r="20" spans="1:11" x14ac:dyDescent="0.25">
      <c r="A20" t="s">
        <v>296</v>
      </c>
      <c r="B20" s="4">
        <v>46204</v>
      </c>
      <c r="C20" t="s">
        <v>15</v>
      </c>
      <c r="D20" t="s">
        <v>30</v>
      </c>
      <c r="E20" t="s">
        <v>13</v>
      </c>
      <c r="F20">
        <v>8</v>
      </c>
      <c r="G20">
        <v>50000</v>
      </c>
      <c r="H20">
        <v>400000</v>
      </c>
      <c r="I20">
        <v>260000</v>
      </c>
      <c r="J20">
        <v>140000</v>
      </c>
      <c r="K20" t="str">
        <f>TEXT(B20,"mmm")</f>
        <v>Jul</v>
      </c>
    </row>
    <row r="21" spans="1:11" x14ac:dyDescent="0.25">
      <c r="A21" t="s">
        <v>327</v>
      </c>
      <c r="B21" s="4">
        <v>46235</v>
      </c>
      <c r="C21" t="s">
        <v>11</v>
      </c>
      <c r="D21" t="s">
        <v>30</v>
      </c>
      <c r="E21" t="s">
        <v>13</v>
      </c>
      <c r="F21">
        <v>8</v>
      </c>
      <c r="G21">
        <v>50000</v>
      </c>
      <c r="H21">
        <v>400000</v>
      </c>
      <c r="I21">
        <v>336000</v>
      </c>
      <c r="J21">
        <v>64000</v>
      </c>
      <c r="K21" t="str">
        <f>TEXT(B21,"mmm")</f>
        <v>Aug</v>
      </c>
    </row>
    <row r="22" spans="1:11" x14ac:dyDescent="0.25">
      <c r="A22" t="s">
        <v>369</v>
      </c>
      <c r="B22" s="4">
        <v>46277</v>
      </c>
      <c r="C22" t="s">
        <v>27</v>
      </c>
      <c r="D22" t="s">
        <v>30</v>
      </c>
      <c r="E22" t="s">
        <v>13</v>
      </c>
      <c r="F22">
        <v>8</v>
      </c>
      <c r="G22">
        <v>50000</v>
      </c>
      <c r="H22">
        <v>400000</v>
      </c>
      <c r="I22">
        <v>296000</v>
      </c>
      <c r="J22">
        <v>104000</v>
      </c>
      <c r="K22" t="str">
        <f>TEXT(B22,"mmm")</f>
        <v>Sep</v>
      </c>
    </row>
    <row r="23" spans="1:11" x14ac:dyDescent="0.25">
      <c r="A23" t="s">
        <v>371</v>
      </c>
      <c r="B23" s="4">
        <v>46279</v>
      </c>
      <c r="C23" t="s">
        <v>27</v>
      </c>
      <c r="D23" t="s">
        <v>30</v>
      </c>
      <c r="E23" t="s">
        <v>13</v>
      </c>
      <c r="F23">
        <v>8</v>
      </c>
      <c r="G23">
        <v>50000</v>
      </c>
      <c r="H23">
        <v>400000</v>
      </c>
      <c r="I23">
        <v>320000</v>
      </c>
      <c r="J23">
        <v>80000</v>
      </c>
      <c r="K23" t="str">
        <f>TEXT(B23,"mmm")</f>
        <v>Sep</v>
      </c>
    </row>
    <row r="24" spans="1:11" x14ac:dyDescent="0.25">
      <c r="A24" t="s">
        <v>441</v>
      </c>
      <c r="B24" s="4">
        <v>46349</v>
      </c>
      <c r="C24" t="s">
        <v>15</v>
      </c>
      <c r="D24" t="s">
        <v>30</v>
      </c>
      <c r="E24" t="s">
        <v>13</v>
      </c>
      <c r="F24">
        <v>8</v>
      </c>
      <c r="G24">
        <v>50000</v>
      </c>
      <c r="H24">
        <v>400000</v>
      </c>
      <c r="I24">
        <v>284000</v>
      </c>
      <c r="J24">
        <v>116000</v>
      </c>
      <c r="K24" t="str">
        <f>TEXT(B24,"mmm")</f>
        <v>Nov</v>
      </c>
    </row>
    <row r="25" spans="1:11" x14ac:dyDescent="0.25">
      <c r="A25" t="s">
        <v>442</v>
      </c>
      <c r="B25" s="4">
        <v>46350</v>
      </c>
      <c r="C25" t="s">
        <v>19</v>
      </c>
      <c r="D25" t="s">
        <v>30</v>
      </c>
      <c r="E25" t="s">
        <v>13</v>
      </c>
      <c r="F25">
        <v>8</v>
      </c>
      <c r="G25">
        <v>50000</v>
      </c>
      <c r="H25">
        <v>400000</v>
      </c>
      <c r="I25">
        <v>316000</v>
      </c>
      <c r="J25">
        <v>84000</v>
      </c>
      <c r="K25" t="str">
        <f>TEXT(B25,"mmm")</f>
        <v>Nov</v>
      </c>
    </row>
    <row r="26" spans="1:11" x14ac:dyDescent="0.25">
      <c r="A26" t="s">
        <v>496</v>
      </c>
      <c r="B26" s="4">
        <v>46404</v>
      </c>
      <c r="C26" t="s">
        <v>19</v>
      </c>
      <c r="D26" t="s">
        <v>30</v>
      </c>
      <c r="E26" t="s">
        <v>13</v>
      </c>
      <c r="F26">
        <v>8</v>
      </c>
      <c r="G26">
        <v>50000</v>
      </c>
      <c r="H26">
        <v>400000</v>
      </c>
      <c r="I26">
        <v>264000</v>
      </c>
      <c r="J26">
        <v>136000</v>
      </c>
      <c r="K26" t="str">
        <f>TEXT(B26,"mmm")</f>
        <v>Jan</v>
      </c>
    </row>
    <row r="27" spans="1:11" x14ac:dyDescent="0.25">
      <c r="A27" t="s">
        <v>29</v>
      </c>
      <c r="B27" s="4">
        <v>45941</v>
      </c>
      <c r="C27" t="s">
        <v>15</v>
      </c>
      <c r="D27" t="s">
        <v>30</v>
      </c>
      <c r="E27" t="s">
        <v>13</v>
      </c>
      <c r="F27">
        <v>7</v>
      </c>
      <c r="G27">
        <v>50000</v>
      </c>
      <c r="H27">
        <v>350000</v>
      </c>
      <c r="I27">
        <v>262500</v>
      </c>
      <c r="J27">
        <v>87500</v>
      </c>
      <c r="K27" t="str">
        <f>TEXT(B27,"mmm")</f>
        <v>Oct</v>
      </c>
    </row>
    <row r="28" spans="1:11" x14ac:dyDescent="0.25">
      <c r="A28" t="s">
        <v>57</v>
      </c>
      <c r="B28" s="4">
        <v>45965</v>
      </c>
      <c r="C28" t="s">
        <v>19</v>
      </c>
      <c r="D28" t="s">
        <v>30</v>
      </c>
      <c r="E28" t="s">
        <v>13</v>
      </c>
      <c r="F28">
        <v>7</v>
      </c>
      <c r="G28">
        <v>50000</v>
      </c>
      <c r="H28">
        <v>350000</v>
      </c>
      <c r="I28">
        <v>241500</v>
      </c>
      <c r="J28">
        <v>108500</v>
      </c>
      <c r="K28" t="str">
        <f>TEXT(B28,"mmm")</f>
        <v>Nov</v>
      </c>
    </row>
    <row r="29" spans="1:11" x14ac:dyDescent="0.25">
      <c r="A29" t="s">
        <v>69</v>
      </c>
      <c r="B29" s="4">
        <v>45977</v>
      </c>
      <c r="C29" t="s">
        <v>27</v>
      </c>
      <c r="D29" t="s">
        <v>30</v>
      </c>
      <c r="E29" t="s">
        <v>13</v>
      </c>
      <c r="F29">
        <v>7</v>
      </c>
      <c r="G29">
        <v>50000</v>
      </c>
      <c r="H29">
        <v>350000</v>
      </c>
      <c r="I29">
        <v>280000</v>
      </c>
      <c r="J29">
        <v>70000</v>
      </c>
      <c r="K29" t="str">
        <f>TEXT(B29,"mmm")</f>
        <v>Nov</v>
      </c>
    </row>
    <row r="30" spans="1:11" x14ac:dyDescent="0.25">
      <c r="A30" t="s">
        <v>81</v>
      </c>
      <c r="B30" s="4">
        <v>45989</v>
      </c>
      <c r="C30" t="s">
        <v>19</v>
      </c>
      <c r="D30" t="s">
        <v>30</v>
      </c>
      <c r="E30" t="s">
        <v>13</v>
      </c>
      <c r="F30">
        <v>7</v>
      </c>
      <c r="G30">
        <v>50000</v>
      </c>
      <c r="H30">
        <v>350000</v>
      </c>
      <c r="I30">
        <v>266000</v>
      </c>
      <c r="J30">
        <v>84000</v>
      </c>
      <c r="K30" t="str">
        <f>TEXT(B30,"mmm")</f>
        <v>Nov</v>
      </c>
    </row>
    <row r="31" spans="1:11" x14ac:dyDescent="0.25">
      <c r="A31" t="s">
        <v>97</v>
      </c>
      <c r="B31" s="4">
        <v>46005</v>
      </c>
      <c r="C31" t="s">
        <v>27</v>
      </c>
      <c r="D31" t="s">
        <v>30</v>
      </c>
      <c r="E31" t="s">
        <v>13</v>
      </c>
      <c r="F31">
        <v>7</v>
      </c>
      <c r="G31">
        <v>50000</v>
      </c>
      <c r="H31">
        <v>350000</v>
      </c>
      <c r="I31">
        <v>245000</v>
      </c>
      <c r="J31">
        <v>105000</v>
      </c>
      <c r="K31" t="str">
        <f>TEXT(B31,"mmm")</f>
        <v>Dec</v>
      </c>
    </row>
    <row r="32" spans="1:11" x14ac:dyDescent="0.25">
      <c r="A32" t="s">
        <v>148</v>
      </c>
      <c r="B32" s="4">
        <v>46056</v>
      </c>
      <c r="C32" t="s">
        <v>19</v>
      </c>
      <c r="D32" t="s">
        <v>30</v>
      </c>
      <c r="E32" t="s">
        <v>13</v>
      </c>
      <c r="F32">
        <v>7</v>
      </c>
      <c r="G32">
        <v>50000</v>
      </c>
      <c r="H32">
        <v>350000</v>
      </c>
      <c r="I32">
        <v>273000</v>
      </c>
      <c r="J32">
        <v>77000</v>
      </c>
      <c r="K32" t="str">
        <f>TEXT(B32,"mmm")</f>
        <v>Feb</v>
      </c>
    </row>
    <row r="33" spans="1:11" x14ac:dyDescent="0.25">
      <c r="A33" t="s">
        <v>151</v>
      </c>
      <c r="B33" s="4">
        <v>46059</v>
      </c>
      <c r="C33" t="s">
        <v>27</v>
      </c>
      <c r="D33" t="s">
        <v>30</v>
      </c>
      <c r="E33" t="s">
        <v>13</v>
      </c>
      <c r="F33">
        <v>7</v>
      </c>
      <c r="G33">
        <v>50000</v>
      </c>
      <c r="H33">
        <v>350000</v>
      </c>
      <c r="I33">
        <v>297500</v>
      </c>
      <c r="J33">
        <v>52500</v>
      </c>
      <c r="K33" t="str">
        <f>TEXT(B33,"mmm")</f>
        <v>Feb</v>
      </c>
    </row>
    <row r="34" spans="1:11" x14ac:dyDescent="0.25">
      <c r="A34" t="s">
        <v>181</v>
      </c>
      <c r="B34" s="4">
        <v>46089</v>
      </c>
      <c r="C34" t="s">
        <v>11</v>
      </c>
      <c r="D34" t="s">
        <v>30</v>
      </c>
      <c r="E34" t="s">
        <v>13</v>
      </c>
      <c r="F34">
        <v>7</v>
      </c>
      <c r="G34">
        <v>50000</v>
      </c>
      <c r="H34">
        <v>350000</v>
      </c>
      <c r="I34">
        <v>294000</v>
      </c>
      <c r="J34">
        <v>56000</v>
      </c>
      <c r="K34" t="str">
        <f>TEXT(B34,"mmm")</f>
        <v>Mar</v>
      </c>
    </row>
    <row r="35" spans="1:11" x14ac:dyDescent="0.25">
      <c r="A35" t="s">
        <v>318</v>
      </c>
      <c r="B35" s="4">
        <v>46226</v>
      </c>
      <c r="C35" t="s">
        <v>19</v>
      </c>
      <c r="D35" t="s">
        <v>30</v>
      </c>
      <c r="E35" t="s">
        <v>13</v>
      </c>
      <c r="F35">
        <v>7</v>
      </c>
      <c r="G35">
        <v>50000</v>
      </c>
      <c r="H35">
        <v>350000</v>
      </c>
      <c r="I35">
        <v>259000</v>
      </c>
      <c r="J35">
        <v>91000</v>
      </c>
      <c r="K35" t="str">
        <f>TEXT(B35,"mmm")</f>
        <v>Jul</v>
      </c>
    </row>
    <row r="36" spans="1:11" x14ac:dyDescent="0.25">
      <c r="A36" t="s">
        <v>44</v>
      </c>
      <c r="B36" s="4">
        <v>45953</v>
      </c>
      <c r="C36" t="s">
        <v>27</v>
      </c>
      <c r="D36" t="s">
        <v>30</v>
      </c>
      <c r="E36" t="s">
        <v>13</v>
      </c>
      <c r="F36">
        <v>6</v>
      </c>
      <c r="G36">
        <v>50000</v>
      </c>
      <c r="H36">
        <v>300000</v>
      </c>
      <c r="I36">
        <v>237000</v>
      </c>
      <c r="J36">
        <v>63000</v>
      </c>
      <c r="K36" t="str">
        <f>TEXT(B36,"mmm")</f>
        <v>Oct</v>
      </c>
    </row>
    <row r="37" spans="1:11" x14ac:dyDescent="0.25">
      <c r="A37" t="s">
        <v>80</v>
      </c>
      <c r="B37" s="4">
        <v>45988</v>
      </c>
      <c r="C37" t="s">
        <v>27</v>
      </c>
      <c r="D37" t="s">
        <v>30</v>
      </c>
      <c r="E37" t="s">
        <v>13</v>
      </c>
      <c r="F37">
        <v>6</v>
      </c>
      <c r="G37">
        <v>50000</v>
      </c>
      <c r="H37">
        <v>300000</v>
      </c>
      <c r="I37">
        <v>225000</v>
      </c>
      <c r="J37">
        <v>75000</v>
      </c>
      <c r="K37" t="str">
        <f>TEXT(B37,"mmm")</f>
        <v>Nov</v>
      </c>
    </row>
    <row r="38" spans="1:11" x14ac:dyDescent="0.25">
      <c r="A38" t="s">
        <v>157</v>
      </c>
      <c r="B38" s="4">
        <v>46065</v>
      </c>
      <c r="C38" t="s">
        <v>11</v>
      </c>
      <c r="D38" t="s">
        <v>30</v>
      </c>
      <c r="E38" t="s">
        <v>13</v>
      </c>
      <c r="F38">
        <v>6</v>
      </c>
      <c r="G38">
        <v>50000</v>
      </c>
      <c r="H38">
        <v>300000</v>
      </c>
      <c r="I38">
        <v>201000</v>
      </c>
      <c r="J38">
        <v>99000</v>
      </c>
      <c r="K38" t="str">
        <f>TEXT(B38,"mmm")</f>
        <v>Feb</v>
      </c>
    </row>
    <row r="39" spans="1:11" x14ac:dyDescent="0.25">
      <c r="A39" t="s">
        <v>246</v>
      </c>
      <c r="B39" s="4">
        <v>46154</v>
      </c>
      <c r="C39" t="s">
        <v>27</v>
      </c>
      <c r="D39" t="s">
        <v>30</v>
      </c>
      <c r="E39" t="s">
        <v>13</v>
      </c>
      <c r="F39">
        <v>6</v>
      </c>
      <c r="G39">
        <v>50000</v>
      </c>
      <c r="H39">
        <v>300000</v>
      </c>
      <c r="I39">
        <v>201000</v>
      </c>
      <c r="J39">
        <v>99000</v>
      </c>
      <c r="K39" t="str">
        <f>TEXT(B39,"mmm")</f>
        <v>May</v>
      </c>
    </row>
    <row r="40" spans="1:11" x14ac:dyDescent="0.25">
      <c r="A40" t="s">
        <v>346</v>
      </c>
      <c r="B40" s="4">
        <v>46254</v>
      </c>
      <c r="C40" t="s">
        <v>27</v>
      </c>
      <c r="D40" t="s">
        <v>30</v>
      </c>
      <c r="E40" t="s">
        <v>13</v>
      </c>
      <c r="F40">
        <v>6</v>
      </c>
      <c r="G40">
        <v>50000</v>
      </c>
      <c r="H40">
        <v>300000</v>
      </c>
      <c r="I40">
        <v>246000</v>
      </c>
      <c r="J40">
        <v>54000</v>
      </c>
      <c r="K40" t="str">
        <f>TEXT(B40,"mmm")</f>
        <v>Aug</v>
      </c>
    </row>
    <row r="41" spans="1:11" x14ac:dyDescent="0.25">
      <c r="A41" t="s">
        <v>411</v>
      </c>
      <c r="B41" s="4">
        <v>46319</v>
      </c>
      <c r="C41" t="s">
        <v>19</v>
      </c>
      <c r="D41" t="s">
        <v>30</v>
      </c>
      <c r="E41" t="s">
        <v>13</v>
      </c>
      <c r="F41">
        <v>6</v>
      </c>
      <c r="G41">
        <v>50000</v>
      </c>
      <c r="H41">
        <v>300000</v>
      </c>
      <c r="I41">
        <v>237000</v>
      </c>
      <c r="J41">
        <v>63000</v>
      </c>
      <c r="K41" t="str">
        <f>TEXT(B41,"mmm")</f>
        <v>Oct</v>
      </c>
    </row>
    <row r="42" spans="1:11" x14ac:dyDescent="0.25">
      <c r="A42" t="s">
        <v>416</v>
      </c>
      <c r="B42" s="4">
        <v>46324</v>
      </c>
      <c r="C42" t="s">
        <v>15</v>
      </c>
      <c r="D42" t="s">
        <v>30</v>
      </c>
      <c r="E42" t="s">
        <v>13</v>
      </c>
      <c r="F42">
        <v>6</v>
      </c>
      <c r="G42">
        <v>50000</v>
      </c>
      <c r="H42">
        <v>300000</v>
      </c>
      <c r="I42">
        <v>216000</v>
      </c>
      <c r="J42">
        <v>84000</v>
      </c>
      <c r="K42" t="str">
        <f>TEXT(B42,"mmm")</f>
        <v>Oct</v>
      </c>
    </row>
    <row r="43" spans="1:11" x14ac:dyDescent="0.25">
      <c r="A43" t="s">
        <v>483</v>
      </c>
      <c r="B43" s="4">
        <v>46391</v>
      </c>
      <c r="C43" t="s">
        <v>15</v>
      </c>
      <c r="D43" t="s">
        <v>30</v>
      </c>
      <c r="E43" t="s">
        <v>13</v>
      </c>
      <c r="F43">
        <v>6</v>
      </c>
      <c r="G43">
        <v>50000</v>
      </c>
      <c r="H43">
        <v>300000</v>
      </c>
      <c r="I43">
        <v>216000</v>
      </c>
      <c r="J43">
        <v>84000</v>
      </c>
      <c r="K43" t="str">
        <f>TEXT(B43,"mmm")</f>
        <v>Jan</v>
      </c>
    </row>
    <row r="44" spans="1:11" x14ac:dyDescent="0.25">
      <c r="A44" t="s">
        <v>504</v>
      </c>
      <c r="B44" s="4">
        <v>46412</v>
      </c>
      <c r="C44" t="s">
        <v>11</v>
      </c>
      <c r="D44" t="s">
        <v>30</v>
      </c>
      <c r="E44" t="s">
        <v>13</v>
      </c>
      <c r="F44">
        <v>6</v>
      </c>
      <c r="G44">
        <v>50000</v>
      </c>
      <c r="H44">
        <v>300000</v>
      </c>
      <c r="I44">
        <v>216000</v>
      </c>
      <c r="J44">
        <v>84000</v>
      </c>
      <c r="K44" t="str">
        <f>TEXT(B44,"mmm")</f>
        <v>Jan</v>
      </c>
    </row>
    <row r="45" spans="1:11" x14ac:dyDescent="0.25">
      <c r="A45" t="s">
        <v>38</v>
      </c>
      <c r="B45" s="4">
        <v>45947</v>
      </c>
      <c r="C45" t="s">
        <v>19</v>
      </c>
      <c r="D45" t="s">
        <v>30</v>
      </c>
      <c r="E45" t="s">
        <v>13</v>
      </c>
      <c r="F45">
        <v>5</v>
      </c>
      <c r="G45">
        <v>50000</v>
      </c>
      <c r="H45">
        <v>250000</v>
      </c>
      <c r="I45">
        <v>202500</v>
      </c>
      <c r="J45">
        <v>47500</v>
      </c>
      <c r="K45" t="str">
        <f>TEXT(B45,"mmm")</f>
        <v>Oct</v>
      </c>
    </row>
    <row r="46" spans="1:11" x14ac:dyDescent="0.25">
      <c r="A46" t="s">
        <v>173</v>
      </c>
      <c r="B46" s="4">
        <v>46081</v>
      </c>
      <c r="C46" t="s">
        <v>19</v>
      </c>
      <c r="D46" t="s">
        <v>30</v>
      </c>
      <c r="E46" t="s">
        <v>13</v>
      </c>
      <c r="F46">
        <v>5</v>
      </c>
      <c r="G46">
        <v>50000</v>
      </c>
      <c r="H46">
        <v>250000</v>
      </c>
      <c r="I46">
        <v>185000</v>
      </c>
      <c r="J46">
        <v>65000</v>
      </c>
      <c r="K46" t="str">
        <f>TEXT(B46,"mmm")</f>
        <v>Feb</v>
      </c>
    </row>
    <row r="47" spans="1:11" x14ac:dyDescent="0.25">
      <c r="A47" t="s">
        <v>493</v>
      </c>
      <c r="B47" s="4">
        <v>46401</v>
      </c>
      <c r="C47" t="s">
        <v>11</v>
      </c>
      <c r="D47" t="s">
        <v>30</v>
      </c>
      <c r="E47" t="s">
        <v>13</v>
      </c>
      <c r="F47">
        <v>5</v>
      </c>
      <c r="G47">
        <v>50000</v>
      </c>
      <c r="H47">
        <v>250000</v>
      </c>
      <c r="I47">
        <v>187500</v>
      </c>
      <c r="J47">
        <v>62500</v>
      </c>
      <c r="K47" t="str">
        <f>TEXT(B47,"mmm")</f>
        <v>Jan</v>
      </c>
    </row>
    <row r="48" spans="1:11" x14ac:dyDescent="0.25">
      <c r="A48" t="s">
        <v>88</v>
      </c>
      <c r="B48" s="4">
        <v>45996</v>
      </c>
      <c r="C48" t="s">
        <v>27</v>
      </c>
      <c r="D48" t="s">
        <v>12</v>
      </c>
      <c r="E48" t="s">
        <v>13</v>
      </c>
      <c r="F48">
        <v>10</v>
      </c>
      <c r="G48">
        <v>20000</v>
      </c>
      <c r="H48">
        <v>200000</v>
      </c>
      <c r="I48">
        <v>156000</v>
      </c>
      <c r="J48">
        <v>44000</v>
      </c>
      <c r="K48" t="str">
        <f>TEXT(B48,"mmm")</f>
        <v>Dec</v>
      </c>
    </row>
    <row r="49" spans="1:11" x14ac:dyDescent="0.25">
      <c r="A49" t="s">
        <v>123</v>
      </c>
      <c r="B49" s="4">
        <v>46031</v>
      </c>
      <c r="C49" t="s">
        <v>15</v>
      </c>
      <c r="D49" t="s">
        <v>30</v>
      </c>
      <c r="E49" t="s">
        <v>13</v>
      </c>
      <c r="F49">
        <v>4</v>
      </c>
      <c r="G49">
        <v>50000</v>
      </c>
      <c r="H49">
        <v>200000</v>
      </c>
      <c r="I49">
        <v>166000</v>
      </c>
      <c r="J49">
        <v>34000</v>
      </c>
      <c r="K49" t="str">
        <f>TEXT(B49,"mmm")</f>
        <v>Jan</v>
      </c>
    </row>
    <row r="50" spans="1:11" x14ac:dyDescent="0.25">
      <c r="A50" t="s">
        <v>127</v>
      </c>
      <c r="B50" s="4">
        <v>46035</v>
      </c>
      <c r="C50" t="s">
        <v>15</v>
      </c>
      <c r="D50" t="s">
        <v>30</v>
      </c>
      <c r="E50" t="s">
        <v>13</v>
      </c>
      <c r="F50">
        <v>4</v>
      </c>
      <c r="G50">
        <v>50000</v>
      </c>
      <c r="H50">
        <v>200000</v>
      </c>
      <c r="I50">
        <v>146000</v>
      </c>
      <c r="J50">
        <v>54000</v>
      </c>
      <c r="K50" t="str">
        <f>TEXT(B50,"mmm")</f>
        <v>Jan</v>
      </c>
    </row>
    <row r="51" spans="1:11" x14ac:dyDescent="0.25">
      <c r="A51" t="s">
        <v>214</v>
      </c>
      <c r="B51" s="4">
        <v>46122</v>
      </c>
      <c r="C51" t="s">
        <v>27</v>
      </c>
      <c r="D51" t="s">
        <v>12</v>
      </c>
      <c r="E51" t="s">
        <v>13</v>
      </c>
      <c r="F51">
        <v>10</v>
      </c>
      <c r="G51">
        <v>20000</v>
      </c>
      <c r="H51">
        <v>200000</v>
      </c>
      <c r="I51">
        <v>152000</v>
      </c>
      <c r="J51">
        <v>48000</v>
      </c>
      <c r="K51" t="str">
        <f>TEXT(B51,"mmm")</f>
        <v>Apr</v>
      </c>
    </row>
    <row r="52" spans="1:11" x14ac:dyDescent="0.25">
      <c r="A52" t="s">
        <v>239</v>
      </c>
      <c r="B52" s="4">
        <v>46147</v>
      </c>
      <c r="C52" t="s">
        <v>27</v>
      </c>
      <c r="D52" t="s">
        <v>12</v>
      </c>
      <c r="E52" t="s">
        <v>13</v>
      </c>
      <c r="F52">
        <v>10</v>
      </c>
      <c r="G52">
        <v>20000</v>
      </c>
      <c r="H52">
        <v>200000</v>
      </c>
      <c r="I52">
        <v>160000</v>
      </c>
      <c r="J52">
        <v>40000</v>
      </c>
      <c r="K52" t="str">
        <f>TEXT(B52,"mmm")</f>
        <v>May</v>
      </c>
    </row>
    <row r="53" spans="1:11" x14ac:dyDescent="0.25">
      <c r="A53" t="s">
        <v>255</v>
      </c>
      <c r="B53" s="4">
        <v>46163</v>
      </c>
      <c r="C53" t="s">
        <v>19</v>
      </c>
      <c r="D53" t="s">
        <v>30</v>
      </c>
      <c r="E53" t="s">
        <v>13</v>
      </c>
      <c r="F53">
        <v>4</v>
      </c>
      <c r="G53">
        <v>50000</v>
      </c>
      <c r="H53">
        <v>200000</v>
      </c>
      <c r="I53">
        <v>134000</v>
      </c>
      <c r="J53">
        <v>66000</v>
      </c>
      <c r="K53" t="str">
        <f>TEXT(B53,"mmm")</f>
        <v>May</v>
      </c>
    </row>
    <row r="54" spans="1:11" x14ac:dyDescent="0.25">
      <c r="A54" t="s">
        <v>266</v>
      </c>
      <c r="B54" s="4">
        <v>46174</v>
      </c>
      <c r="C54" t="s">
        <v>15</v>
      </c>
      <c r="D54" t="s">
        <v>30</v>
      </c>
      <c r="E54" t="s">
        <v>13</v>
      </c>
      <c r="F54">
        <v>4</v>
      </c>
      <c r="G54">
        <v>50000</v>
      </c>
      <c r="H54">
        <v>200000</v>
      </c>
      <c r="I54">
        <v>152000</v>
      </c>
      <c r="J54">
        <v>48000</v>
      </c>
      <c r="K54" t="str">
        <f>TEXT(B54,"mmm")</f>
        <v>Jun</v>
      </c>
    </row>
    <row r="55" spans="1:11" x14ac:dyDescent="0.25">
      <c r="A55" t="s">
        <v>290</v>
      </c>
      <c r="B55" s="4">
        <v>46198</v>
      </c>
      <c r="C55" t="s">
        <v>11</v>
      </c>
      <c r="D55" t="s">
        <v>30</v>
      </c>
      <c r="E55" t="s">
        <v>13</v>
      </c>
      <c r="F55">
        <v>4</v>
      </c>
      <c r="G55">
        <v>50000</v>
      </c>
      <c r="H55">
        <v>200000</v>
      </c>
      <c r="I55">
        <v>164000</v>
      </c>
      <c r="J55">
        <v>36000</v>
      </c>
      <c r="K55" t="str">
        <f>TEXT(B55,"mmm")</f>
        <v>Jun</v>
      </c>
    </row>
    <row r="56" spans="1:11" x14ac:dyDescent="0.25">
      <c r="A56" t="s">
        <v>303</v>
      </c>
      <c r="B56" s="4">
        <v>46211</v>
      </c>
      <c r="C56" t="s">
        <v>27</v>
      </c>
      <c r="D56" t="s">
        <v>30</v>
      </c>
      <c r="E56" t="s">
        <v>13</v>
      </c>
      <c r="F56">
        <v>4</v>
      </c>
      <c r="G56">
        <v>50000</v>
      </c>
      <c r="H56">
        <v>200000</v>
      </c>
      <c r="I56">
        <v>166000</v>
      </c>
      <c r="J56">
        <v>34000</v>
      </c>
      <c r="K56" t="str">
        <f>TEXT(B56,"mmm")</f>
        <v>Jul</v>
      </c>
    </row>
    <row r="57" spans="1:11" x14ac:dyDescent="0.25">
      <c r="A57" t="s">
        <v>395</v>
      </c>
      <c r="B57" s="4">
        <v>46303</v>
      </c>
      <c r="C57" t="s">
        <v>27</v>
      </c>
      <c r="D57" t="s">
        <v>12</v>
      </c>
      <c r="E57" t="s">
        <v>13</v>
      </c>
      <c r="F57">
        <v>10</v>
      </c>
      <c r="G57">
        <v>20000</v>
      </c>
      <c r="H57">
        <v>200000</v>
      </c>
      <c r="I57">
        <v>132000</v>
      </c>
      <c r="J57">
        <v>68000</v>
      </c>
      <c r="K57" t="str">
        <f>TEXT(B57,"mmm")</f>
        <v>Oct</v>
      </c>
    </row>
    <row r="58" spans="1:11" x14ac:dyDescent="0.25">
      <c r="A58" t="s">
        <v>432</v>
      </c>
      <c r="B58" s="4">
        <v>46340</v>
      </c>
      <c r="C58" t="s">
        <v>27</v>
      </c>
      <c r="D58" t="s">
        <v>30</v>
      </c>
      <c r="E58" t="s">
        <v>13</v>
      </c>
      <c r="F58">
        <v>4</v>
      </c>
      <c r="G58">
        <v>50000</v>
      </c>
      <c r="H58">
        <v>200000</v>
      </c>
      <c r="I58">
        <v>132000</v>
      </c>
      <c r="J58">
        <v>68000</v>
      </c>
      <c r="K58" t="str">
        <f>TEXT(B58,"mmm")</f>
        <v>Nov</v>
      </c>
    </row>
    <row r="59" spans="1:11" x14ac:dyDescent="0.25">
      <c r="A59" t="s">
        <v>488</v>
      </c>
      <c r="B59" s="4">
        <v>46396</v>
      </c>
      <c r="C59" t="s">
        <v>11</v>
      </c>
      <c r="D59" t="s">
        <v>12</v>
      </c>
      <c r="E59" t="s">
        <v>13</v>
      </c>
      <c r="F59">
        <v>10</v>
      </c>
      <c r="G59">
        <v>20000</v>
      </c>
      <c r="H59">
        <v>200000</v>
      </c>
      <c r="I59">
        <v>138000</v>
      </c>
      <c r="J59">
        <v>62000</v>
      </c>
      <c r="K59" t="str">
        <f>TEXT(B59,"mmm")</f>
        <v>Jan</v>
      </c>
    </row>
    <row r="60" spans="1:11" x14ac:dyDescent="0.25">
      <c r="A60" t="s">
        <v>59</v>
      </c>
      <c r="B60" s="4">
        <v>45967</v>
      </c>
      <c r="C60" t="s">
        <v>11</v>
      </c>
      <c r="D60" t="s">
        <v>12</v>
      </c>
      <c r="E60" t="s">
        <v>13</v>
      </c>
      <c r="F60">
        <v>9</v>
      </c>
      <c r="G60">
        <v>20000</v>
      </c>
      <c r="H60">
        <v>180000</v>
      </c>
      <c r="I60">
        <v>144000</v>
      </c>
      <c r="J60">
        <v>36000</v>
      </c>
      <c r="K60" t="str">
        <f>TEXT(B60,"mmm")</f>
        <v>Nov</v>
      </c>
    </row>
    <row r="61" spans="1:11" x14ac:dyDescent="0.25">
      <c r="A61" t="s">
        <v>115</v>
      </c>
      <c r="B61" s="4">
        <v>46023</v>
      </c>
      <c r="C61" t="s">
        <v>11</v>
      </c>
      <c r="D61" t="s">
        <v>12</v>
      </c>
      <c r="E61" t="s">
        <v>13</v>
      </c>
      <c r="F61">
        <v>9</v>
      </c>
      <c r="G61">
        <v>20000</v>
      </c>
      <c r="H61">
        <v>180000</v>
      </c>
      <c r="I61">
        <v>144000</v>
      </c>
      <c r="J61">
        <v>36000</v>
      </c>
      <c r="K61" t="str">
        <f>TEXT(B61,"mmm")</f>
        <v>Jan</v>
      </c>
    </row>
    <row r="62" spans="1:11" x14ac:dyDescent="0.25">
      <c r="A62" t="s">
        <v>231</v>
      </c>
      <c r="B62" s="4">
        <v>46139</v>
      </c>
      <c r="C62" t="s">
        <v>15</v>
      </c>
      <c r="D62" t="s">
        <v>12</v>
      </c>
      <c r="E62" t="s">
        <v>13</v>
      </c>
      <c r="F62">
        <v>9</v>
      </c>
      <c r="G62">
        <v>20000</v>
      </c>
      <c r="H62">
        <v>180000</v>
      </c>
      <c r="I62">
        <v>131400</v>
      </c>
      <c r="J62">
        <v>48600</v>
      </c>
      <c r="K62" t="str">
        <f>TEXT(B62,"mmm")</f>
        <v>Apr</v>
      </c>
    </row>
    <row r="63" spans="1:11" x14ac:dyDescent="0.25">
      <c r="A63" t="s">
        <v>356</v>
      </c>
      <c r="B63" s="4">
        <v>46264</v>
      </c>
      <c r="C63" t="s">
        <v>19</v>
      </c>
      <c r="D63" t="s">
        <v>12</v>
      </c>
      <c r="E63" t="s">
        <v>13</v>
      </c>
      <c r="F63">
        <v>9</v>
      </c>
      <c r="G63">
        <v>20000</v>
      </c>
      <c r="H63">
        <v>180000</v>
      </c>
      <c r="I63">
        <v>127800</v>
      </c>
      <c r="J63">
        <v>52200</v>
      </c>
      <c r="K63" t="str">
        <f>TEXT(B63,"mmm")</f>
        <v>Aug</v>
      </c>
    </row>
    <row r="64" spans="1:11" x14ac:dyDescent="0.25">
      <c r="A64" t="s">
        <v>380</v>
      </c>
      <c r="B64" s="4">
        <v>46288</v>
      </c>
      <c r="C64" t="s">
        <v>27</v>
      </c>
      <c r="D64" t="s">
        <v>12</v>
      </c>
      <c r="E64" t="s">
        <v>13</v>
      </c>
      <c r="F64">
        <v>9</v>
      </c>
      <c r="G64">
        <v>20000</v>
      </c>
      <c r="H64">
        <v>180000</v>
      </c>
      <c r="I64">
        <v>153000</v>
      </c>
      <c r="J64">
        <v>27000</v>
      </c>
      <c r="K64" t="str">
        <f>TEXT(B64,"mmm")</f>
        <v>Sep</v>
      </c>
    </row>
    <row r="65" spans="1:11" x14ac:dyDescent="0.25">
      <c r="A65" t="s">
        <v>412</v>
      </c>
      <c r="B65" s="4">
        <v>46320</v>
      </c>
      <c r="C65" t="s">
        <v>19</v>
      </c>
      <c r="D65" t="s">
        <v>12</v>
      </c>
      <c r="E65" t="s">
        <v>13</v>
      </c>
      <c r="F65">
        <v>9</v>
      </c>
      <c r="G65">
        <v>20000</v>
      </c>
      <c r="H65">
        <v>180000</v>
      </c>
      <c r="I65">
        <v>122400</v>
      </c>
      <c r="J65">
        <v>57600</v>
      </c>
      <c r="K65" t="str">
        <f>TEXT(B65,"mmm")</f>
        <v>Oct</v>
      </c>
    </row>
    <row r="66" spans="1:11" x14ac:dyDescent="0.25">
      <c r="A66" t="s">
        <v>10</v>
      </c>
      <c r="B66" s="4">
        <v>45933</v>
      </c>
      <c r="C66" t="s">
        <v>11</v>
      </c>
      <c r="D66" t="s">
        <v>12</v>
      </c>
      <c r="E66" t="s">
        <v>13</v>
      </c>
      <c r="F66">
        <v>8</v>
      </c>
      <c r="G66">
        <v>20000</v>
      </c>
      <c r="H66">
        <v>160000</v>
      </c>
      <c r="I66">
        <v>115200</v>
      </c>
      <c r="J66">
        <v>44800</v>
      </c>
      <c r="K66" t="str">
        <f>TEXT(B66,"mmm")</f>
        <v>Oct</v>
      </c>
    </row>
    <row r="67" spans="1:11" x14ac:dyDescent="0.25">
      <c r="A67" t="s">
        <v>180</v>
      </c>
      <c r="B67" s="4">
        <v>46088</v>
      </c>
      <c r="C67" t="s">
        <v>27</v>
      </c>
      <c r="D67" t="s">
        <v>12</v>
      </c>
      <c r="E67" t="s">
        <v>13</v>
      </c>
      <c r="F67">
        <v>8</v>
      </c>
      <c r="G67">
        <v>20000</v>
      </c>
      <c r="H67">
        <v>160000</v>
      </c>
      <c r="I67">
        <v>107200</v>
      </c>
      <c r="J67">
        <v>52800</v>
      </c>
      <c r="K67" t="str">
        <f>TEXT(B67,"mmm")</f>
        <v>Mar</v>
      </c>
    </row>
    <row r="68" spans="1:11" x14ac:dyDescent="0.25">
      <c r="A68" t="s">
        <v>200</v>
      </c>
      <c r="B68" s="4">
        <v>46108</v>
      </c>
      <c r="C68" t="s">
        <v>15</v>
      </c>
      <c r="D68" t="s">
        <v>12</v>
      </c>
      <c r="E68" t="s">
        <v>13</v>
      </c>
      <c r="F68">
        <v>8</v>
      </c>
      <c r="G68">
        <v>20000</v>
      </c>
      <c r="H68">
        <v>160000</v>
      </c>
      <c r="I68">
        <v>121600</v>
      </c>
      <c r="J68">
        <v>38400</v>
      </c>
      <c r="K68" t="str">
        <f>TEXT(B68,"mmm")</f>
        <v>Mar</v>
      </c>
    </row>
    <row r="69" spans="1:11" x14ac:dyDescent="0.25">
      <c r="A69" t="s">
        <v>206</v>
      </c>
      <c r="B69" s="4">
        <v>46114</v>
      </c>
      <c r="C69" t="s">
        <v>27</v>
      </c>
      <c r="D69" t="s">
        <v>12</v>
      </c>
      <c r="E69" t="s">
        <v>13</v>
      </c>
      <c r="F69">
        <v>8</v>
      </c>
      <c r="G69">
        <v>20000</v>
      </c>
      <c r="H69">
        <v>160000</v>
      </c>
      <c r="I69">
        <v>104000</v>
      </c>
      <c r="J69">
        <v>56000</v>
      </c>
      <c r="K69" t="str">
        <f>TEXT(B69,"mmm")</f>
        <v>Apr</v>
      </c>
    </row>
    <row r="70" spans="1:11" x14ac:dyDescent="0.25">
      <c r="A70" t="s">
        <v>329</v>
      </c>
      <c r="B70" s="4">
        <v>46237</v>
      </c>
      <c r="C70" t="s">
        <v>27</v>
      </c>
      <c r="D70" t="s">
        <v>12</v>
      </c>
      <c r="E70" t="s">
        <v>13</v>
      </c>
      <c r="F70">
        <v>8</v>
      </c>
      <c r="G70">
        <v>20000</v>
      </c>
      <c r="H70">
        <v>160000</v>
      </c>
      <c r="I70">
        <v>115200</v>
      </c>
      <c r="J70">
        <v>44800</v>
      </c>
      <c r="K70" t="str">
        <f>TEXT(B70,"mmm")</f>
        <v>Aug</v>
      </c>
    </row>
    <row r="71" spans="1:11" x14ac:dyDescent="0.25">
      <c r="A71" t="s">
        <v>430</v>
      </c>
      <c r="B71" s="4">
        <v>46338</v>
      </c>
      <c r="C71" t="s">
        <v>15</v>
      </c>
      <c r="D71" t="s">
        <v>12</v>
      </c>
      <c r="E71" t="s">
        <v>13</v>
      </c>
      <c r="F71">
        <v>8</v>
      </c>
      <c r="G71">
        <v>20000</v>
      </c>
      <c r="H71">
        <v>160000</v>
      </c>
      <c r="I71">
        <v>112000</v>
      </c>
      <c r="J71">
        <v>48000</v>
      </c>
      <c r="K71" t="str">
        <f>TEXT(B71,"mmm")</f>
        <v>Nov</v>
      </c>
    </row>
    <row r="72" spans="1:11" x14ac:dyDescent="0.25">
      <c r="A72" t="s">
        <v>480</v>
      </c>
      <c r="B72" s="4">
        <v>46388</v>
      </c>
      <c r="C72" t="s">
        <v>19</v>
      </c>
      <c r="D72" t="s">
        <v>12</v>
      </c>
      <c r="E72" t="s">
        <v>13</v>
      </c>
      <c r="F72">
        <v>8</v>
      </c>
      <c r="G72">
        <v>20000</v>
      </c>
      <c r="H72">
        <v>160000</v>
      </c>
      <c r="I72">
        <v>124800</v>
      </c>
      <c r="J72">
        <v>35200</v>
      </c>
      <c r="K72" t="str">
        <f>TEXT(B72,"mmm")</f>
        <v>Jan</v>
      </c>
    </row>
    <row r="73" spans="1:11" x14ac:dyDescent="0.25">
      <c r="A73" t="s">
        <v>492</v>
      </c>
      <c r="B73" s="4">
        <v>46400</v>
      </c>
      <c r="C73" t="s">
        <v>19</v>
      </c>
      <c r="D73" t="s">
        <v>12</v>
      </c>
      <c r="E73" t="s">
        <v>13</v>
      </c>
      <c r="F73">
        <v>8</v>
      </c>
      <c r="G73">
        <v>20000</v>
      </c>
      <c r="H73">
        <v>160000</v>
      </c>
      <c r="I73">
        <v>129600</v>
      </c>
      <c r="J73">
        <v>30400</v>
      </c>
      <c r="K73" t="str">
        <f>TEXT(B73,"mmm")</f>
        <v>Jan</v>
      </c>
    </row>
    <row r="74" spans="1:11" x14ac:dyDescent="0.25">
      <c r="A74" t="s">
        <v>79</v>
      </c>
      <c r="B74" s="4">
        <v>45987</v>
      </c>
      <c r="C74" t="s">
        <v>15</v>
      </c>
      <c r="D74" t="s">
        <v>30</v>
      </c>
      <c r="E74" t="s">
        <v>13</v>
      </c>
      <c r="F74">
        <v>3</v>
      </c>
      <c r="G74">
        <v>50000</v>
      </c>
      <c r="H74">
        <v>150000</v>
      </c>
      <c r="I74">
        <v>127500</v>
      </c>
      <c r="J74">
        <v>22500</v>
      </c>
      <c r="K74" t="str">
        <f>TEXT(B74,"mmm")</f>
        <v>Nov</v>
      </c>
    </row>
    <row r="75" spans="1:11" x14ac:dyDescent="0.25">
      <c r="A75" t="s">
        <v>87</v>
      </c>
      <c r="B75" s="4">
        <v>45995</v>
      </c>
      <c r="C75" t="s">
        <v>27</v>
      </c>
      <c r="D75" t="s">
        <v>30</v>
      </c>
      <c r="E75" t="s">
        <v>13</v>
      </c>
      <c r="F75">
        <v>3</v>
      </c>
      <c r="G75">
        <v>50000</v>
      </c>
      <c r="H75">
        <v>150000</v>
      </c>
      <c r="I75">
        <v>111000</v>
      </c>
      <c r="J75">
        <v>39000</v>
      </c>
      <c r="K75" t="str">
        <f>TEXT(B75,"mmm")</f>
        <v>Dec</v>
      </c>
    </row>
    <row r="76" spans="1:11" x14ac:dyDescent="0.25">
      <c r="A76" t="s">
        <v>119</v>
      </c>
      <c r="B76" s="4">
        <v>46027</v>
      </c>
      <c r="C76" t="s">
        <v>15</v>
      </c>
      <c r="D76" t="s">
        <v>30</v>
      </c>
      <c r="E76" t="s">
        <v>13</v>
      </c>
      <c r="F76">
        <v>3</v>
      </c>
      <c r="G76">
        <v>50000</v>
      </c>
      <c r="H76">
        <v>150000</v>
      </c>
      <c r="I76">
        <v>111000</v>
      </c>
      <c r="J76">
        <v>39000</v>
      </c>
      <c r="K76" t="str">
        <f>TEXT(B76,"mmm")</f>
        <v>Jan</v>
      </c>
    </row>
    <row r="77" spans="1:11" x14ac:dyDescent="0.25">
      <c r="A77" t="s">
        <v>134</v>
      </c>
      <c r="B77" s="4">
        <v>46042</v>
      </c>
      <c r="C77" t="s">
        <v>11</v>
      </c>
      <c r="D77" t="s">
        <v>16</v>
      </c>
      <c r="E77" t="s">
        <v>13</v>
      </c>
      <c r="F77">
        <v>10</v>
      </c>
      <c r="G77">
        <v>15000</v>
      </c>
      <c r="H77">
        <v>150000</v>
      </c>
      <c r="I77">
        <v>121500</v>
      </c>
      <c r="J77">
        <v>28500</v>
      </c>
      <c r="K77" t="str">
        <f>TEXT(B77,"mmm")</f>
        <v>Jan</v>
      </c>
    </row>
    <row r="78" spans="1:11" x14ac:dyDescent="0.25">
      <c r="A78" t="s">
        <v>208</v>
      </c>
      <c r="B78" s="4">
        <v>46116</v>
      </c>
      <c r="C78" t="s">
        <v>27</v>
      </c>
      <c r="D78" t="s">
        <v>30</v>
      </c>
      <c r="E78" t="s">
        <v>13</v>
      </c>
      <c r="F78">
        <v>3</v>
      </c>
      <c r="G78">
        <v>50000</v>
      </c>
      <c r="H78">
        <v>150000</v>
      </c>
      <c r="I78">
        <v>97500</v>
      </c>
      <c r="J78">
        <v>52500</v>
      </c>
      <c r="K78" t="str">
        <f>TEXT(B78,"mmm")</f>
        <v>Apr</v>
      </c>
    </row>
    <row r="79" spans="1:11" x14ac:dyDescent="0.25">
      <c r="A79" t="s">
        <v>218</v>
      </c>
      <c r="B79" s="4">
        <v>46126</v>
      </c>
      <c r="C79" t="s">
        <v>11</v>
      </c>
      <c r="D79" t="s">
        <v>30</v>
      </c>
      <c r="E79" t="s">
        <v>13</v>
      </c>
      <c r="F79">
        <v>3</v>
      </c>
      <c r="G79">
        <v>50000</v>
      </c>
      <c r="H79">
        <v>150000</v>
      </c>
      <c r="I79">
        <v>109500</v>
      </c>
      <c r="J79">
        <v>40500</v>
      </c>
      <c r="K79" t="str">
        <f>TEXT(B79,"mmm")</f>
        <v>Apr</v>
      </c>
    </row>
    <row r="80" spans="1:11" x14ac:dyDescent="0.25">
      <c r="A80" t="s">
        <v>248</v>
      </c>
      <c r="B80" s="4">
        <v>46156</v>
      </c>
      <c r="C80" t="s">
        <v>11</v>
      </c>
      <c r="D80" t="s">
        <v>30</v>
      </c>
      <c r="E80" t="s">
        <v>13</v>
      </c>
      <c r="F80">
        <v>3</v>
      </c>
      <c r="G80">
        <v>50000</v>
      </c>
      <c r="H80">
        <v>150000</v>
      </c>
      <c r="I80">
        <v>118500</v>
      </c>
      <c r="J80">
        <v>31500</v>
      </c>
      <c r="K80" t="str">
        <f>TEXT(B80,"mmm")</f>
        <v>May</v>
      </c>
    </row>
    <row r="81" spans="1:11" x14ac:dyDescent="0.25">
      <c r="A81" t="s">
        <v>352</v>
      </c>
      <c r="B81" s="4">
        <v>46260</v>
      </c>
      <c r="C81" t="s">
        <v>15</v>
      </c>
      <c r="D81" t="s">
        <v>30</v>
      </c>
      <c r="E81" t="s">
        <v>13</v>
      </c>
      <c r="F81">
        <v>3</v>
      </c>
      <c r="G81">
        <v>50000</v>
      </c>
      <c r="H81">
        <v>150000</v>
      </c>
      <c r="I81">
        <v>97500</v>
      </c>
      <c r="J81">
        <v>52500</v>
      </c>
      <c r="K81" t="str">
        <f>TEXT(B81,"mmm")</f>
        <v>Aug</v>
      </c>
    </row>
    <row r="82" spans="1:11" x14ac:dyDescent="0.25">
      <c r="A82" t="s">
        <v>415</v>
      </c>
      <c r="B82" s="4">
        <v>46323</v>
      </c>
      <c r="C82" t="s">
        <v>19</v>
      </c>
      <c r="D82" t="s">
        <v>30</v>
      </c>
      <c r="E82" t="s">
        <v>13</v>
      </c>
      <c r="F82">
        <v>3</v>
      </c>
      <c r="G82">
        <v>50000</v>
      </c>
      <c r="H82">
        <v>150000</v>
      </c>
      <c r="I82">
        <v>97500</v>
      </c>
      <c r="J82">
        <v>52500</v>
      </c>
      <c r="K82" t="str">
        <f>TEXT(B82,"mmm")</f>
        <v>Oct</v>
      </c>
    </row>
    <row r="83" spans="1:11" x14ac:dyDescent="0.25">
      <c r="A83" t="s">
        <v>114</v>
      </c>
      <c r="B83" s="4">
        <v>46022</v>
      </c>
      <c r="C83" t="s">
        <v>11</v>
      </c>
      <c r="D83" t="s">
        <v>12</v>
      </c>
      <c r="E83" t="s">
        <v>13</v>
      </c>
      <c r="F83">
        <v>7</v>
      </c>
      <c r="G83">
        <v>20000</v>
      </c>
      <c r="H83">
        <v>140000</v>
      </c>
      <c r="I83">
        <v>106400</v>
      </c>
      <c r="J83">
        <v>33600</v>
      </c>
      <c r="K83" t="str">
        <f>TEXT(B83,"mmm")</f>
        <v>Dec</v>
      </c>
    </row>
    <row r="84" spans="1:11" x14ac:dyDescent="0.25">
      <c r="A84" t="s">
        <v>482</v>
      </c>
      <c r="B84" s="4">
        <v>46390</v>
      </c>
      <c r="C84" t="s">
        <v>11</v>
      </c>
      <c r="D84" t="s">
        <v>12</v>
      </c>
      <c r="E84" t="s">
        <v>13</v>
      </c>
      <c r="F84">
        <v>7</v>
      </c>
      <c r="G84">
        <v>20000</v>
      </c>
      <c r="H84">
        <v>140000</v>
      </c>
      <c r="I84">
        <v>95200</v>
      </c>
      <c r="J84">
        <v>44800</v>
      </c>
      <c r="K84" t="str">
        <f>TEXT(B84,"mmm")</f>
        <v>Jan</v>
      </c>
    </row>
    <row r="85" spans="1:11" x14ac:dyDescent="0.25">
      <c r="A85" t="s">
        <v>511</v>
      </c>
      <c r="B85" s="4">
        <v>46419</v>
      </c>
      <c r="C85" t="s">
        <v>19</v>
      </c>
      <c r="D85" t="s">
        <v>12</v>
      </c>
      <c r="E85" t="s">
        <v>13</v>
      </c>
      <c r="F85">
        <v>7</v>
      </c>
      <c r="G85">
        <v>20000</v>
      </c>
      <c r="H85">
        <v>140000</v>
      </c>
      <c r="I85">
        <v>113400</v>
      </c>
      <c r="J85">
        <v>26600</v>
      </c>
      <c r="K85" t="str">
        <f>TEXT(B85,"mmm")</f>
        <v>Feb</v>
      </c>
    </row>
    <row r="86" spans="1:11" x14ac:dyDescent="0.25">
      <c r="A86" t="s">
        <v>512</v>
      </c>
      <c r="B86" s="4">
        <v>46420</v>
      </c>
      <c r="C86" t="s">
        <v>11</v>
      </c>
      <c r="D86" t="s">
        <v>12</v>
      </c>
      <c r="E86" t="s">
        <v>13</v>
      </c>
      <c r="F86">
        <v>7</v>
      </c>
      <c r="G86">
        <v>20000</v>
      </c>
      <c r="H86">
        <v>140000</v>
      </c>
      <c r="I86">
        <v>113400</v>
      </c>
      <c r="J86">
        <v>26600</v>
      </c>
      <c r="K86" t="str">
        <f>TEXT(B86,"mmm")</f>
        <v>Feb</v>
      </c>
    </row>
    <row r="87" spans="1:11" x14ac:dyDescent="0.25">
      <c r="A87" t="s">
        <v>120</v>
      </c>
      <c r="B87" s="4">
        <v>46028</v>
      </c>
      <c r="C87" t="s">
        <v>11</v>
      </c>
      <c r="D87" t="s">
        <v>16</v>
      </c>
      <c r="E87" t="s">
        <v>13</v>
      </c>
      <c r="F87">
        <v>9</v>
      </c>
      <c r="G87">
        <v>15000</v>
      </c>
      <c r="H87">
        <v>135000</v>
      </c>
      <c r="I87">
        <v>97200</v>
      </c>
      <c r="J87">
        <v>37800</v>
      </c>
      <c r="K87" t="str">
        <f>TEXT(B87,"mmm")</f>
        <v>Jan</v>
      </c>
    </row>
    <row r="88" spans="1:11" x14ac:dyDescent="0.25">
      <c r="A88" t="s">
        <v>137</v>
      </c>
      <c r="B88" s="4">
        <v>46045</v>
      </c>
      <c r="C88" t="s">
        <v>19</v>
      </c>
      <c r="D88" t="s">
        <v>16</v>
      </c>
      <c r="E88" t="s">
        <v>13</v>
      </c>
      <c r="F88">
        <v>9</v>
      </c>
      <c r="G88">
        <v>15000</v>
      </c>
      <c r="H88">
        <v>135000</v>
      </c>
      <c r="I88">
        <v>98550</v>
      </c>
      <c r="J88">
        <v>36450</v>
      </c>
      <c r="K88" t="str">
        <f>TEXT(B88,"mmm")</f>
        <v>Jan</v>
      </c>
    </row>
    <row r="89" spans="1:11" x14ac:dyDescent="0.25">
      <c r="A89" t="s">
        <v>179</v>
      </c>
      <c r="B89" s="4">
        <v>46087</v>
      </c>
      <c r="C89" t="s">
        <v>19</v>
      </c>
      <c r="D89" t="s">
        <v>16</v>
      </c>
      <c r="E89" t="s">
        <v>13</v>
      </c>
      <c r="F89">
        <v>9</v>
      </c>
      <c r="G89">
        <v>15000</v>
      </c>
      <c r="H89">
        <v>135000</v>
      </c>
      <c r="I89">
        <v>99900</v>
      </c>
      <c r="J89">
        <v>35100</v>
      </c>
      <c r="K89" t="str">
        <f>TEXT(B89,"mmm")</f>
        <v>Mar</v>
      </c>
    </row>
    <row r="90" spans="1:11" x14ac:dyDescent="0.25">
      <c r="A90" t="s">
        <v>190</v>
      </c>
      <c r="B90" s="4">
        <v>46098</v>
      </c>
      <c r="C90" t="s">
        <v>19</v>
      </c>
      <c r="D90" t="s">
        <v>16</v>
      </c>
      <c r="E90" t="s">
        <v>13</v>
      </c>
      <c r="F90">
        <v>9</v>
      </c>
      <c r="G90">
        <v>15000</v>
      </c>
      <c r="H90">
        <v>135000</v>
      </c>
      <c r="I90">
        <v>103950</v>
      </c>
      <c r="J90">
        <v>31050</v>
      </c>
      <c r="K90" t="str">
        <f>TEXT(B90,"mmm")</f>
        <v>Mar</v>
      </c>
    </row>
    <row r="91" spans="1:11" x14ac:dyDescent="0.25">
      <c r="A91" t="s">
        <v>221</v>
      </c>
      <c r="B91" s="4">
        <v>46129</v>
      </c>
      <c r="C91" t="s">
        <v>11</v>
      </c>
      <c r="D91" t="s">
        <v>16</v>
      </c>
      <c r="E91" t="s">
        <v>13</v>
      </c>
      <c r="F91">
        <v>9</v>
      </c>
      <c r="G91">
        <v>15000</v>
      </c>
      <c r="H91">
        <v>135000</v>
      </c>
      <c r="I91">
        <v>105300</v>
      </c>
      <c r="J91">
        <v>29700</v>
      </c>
      <c r="K91" t="str">
        <f>TEXT(B91,"mmm")</f>
        <v>Apr</v>
      </c>
    </row>
    <row r="92" spans="1:11" x14ac:dyDescent="0.25">
      <c r="A92" t="s">
        <v>225</v>
      </c>
      <c r="B92" s="4">
        <v>46133</v>
      </c>
      <c r="C92" t="s">
        <v>27</v>
      </c>
      <c r="D92" t="s">
        <v>16</v>
      </c>
      <c r="E92" t="s">
        <v>13</v>
      </c>
      <c r="F92">
        <v>9</v>
      </c>
      <c r="G92">
        <v>15000</v>
      </c>
      <c r="H92">
        <v>135000</v>
      </c>
      <c r="I92">
        <v>95850</v>
      </c>
      <c r="J92">
        <v>39150</v>
      </c>
      <c r="K92" t="str">
        <f>TEXT(B92,"mmm")</f>
        <v>Apr</v>
      </c>
    </row>
    <row r="93" spans="1:11" x14ac:dyDescent="0.25">
      <c r="A93" t="s">
        <v>289</v>
      </c>
      <c r="B93" s="4">
        <v>46197</v>
      </c>
      <c r="C93" t="s">
        <v>15</v>
      </c>
      <c r="D93" t="s">
        <v>16</v>
      </c>
      <c r="E93" t="s">
        <v>13</v>
      </c>
      <c r="F93">
        <v>9</v>
      </c>
      <c r="G93">
        <v>15000</v>
      </c>
      <c r="H93">
        <v>135000</v>
      </c>
      <c r="I93">
        <v>94500</v>
      </c>
      <c r="J93">
        <v>40500</v>
      </c>
      <c r="K93" t="str">
        <f>TEXT(B93,"mmm")</f>
        <v>Jun</v>
      </c>
    </row>
    <row r="94" spans="1:11" x14ac:dyDescent="0.25">
      <c r="A94" t="s">
        <v>359</v>
      </c>
      <c r="B94" s="4">
        <v>46267</v>
      </c>
      <c r="C94" t="s">
        <v>27</v>
      </c>
      <c r="D94" t="s">
        <v>16</v>
      </c>
      <c r="E94" t="s">
        <v>13</v>
      </c>
      <c r="F94">
        <v>9</v>
      </c>
      <c r="G94">
        <v>15000</v>
      </c>
      <c r="H94">
        <v>135000</v>
      </c>
      <c r="I94">
        <v>102600</v>
      </c>
      <c r="J94">
        <v>32400</v>
      </c>
      <c r="K94" t="str">
        <f>TEXT(B94,"mmm")</f>
        <v>Sep</v>
      </c>
    </row>
    <row r="95" spans="1:11" x14ac:dyDescent="0.25">
      <c r="A95" t="s">
        <v>448</v>
      </c>
      <c r="B95" s="4">
        <v>46356</v>
      </c>
      <c r="C95" t="s">
        <v>19</v>
      </c>
      <c r="D95" t="s">
        <v>16</v>
      </c>
      <c r="E95" t="s">
        <v>13</v>
      </c>
      <c r="F95">
        <v>9</v>
      </c>
      <c r="G95">
        <v>15000</v>
      </c>
      <c r="H95">
        <v>135000</v>
      </c>
      <c r="I95">
        <v>101250</v>
      </c>
      <c r="J95">
        <v>33750</v>
      </c>
      <c r="K95" t="str">
        <f>TEXT(B95,"mmm")</f>
        <v>Nov</v>
      </c>
    </row>
    <row r="96" spans="1:11" x14ac:dyDescent="0.25">
      <c r="A96" t="s">
        <v>520</v>
      </c>
      <c r="B96" s="4">
        <v>46428</v>
      </c>
      <c r="C96" t="s">
        <v>15</v>
      </c>
      <c r="D96" t="s">
        <v>16</v>
      </c>
      <c r="E96" t="s">
        <v>13</v>
      </c>
      <c r="F96">
        <v>9</v>
      </c>
      <c r="G96">
        <v>15000</v>
      </c>
      <c r="H96">
        <v>135000</v>
      </c>
      <c r="I96">
        <v>101250</v>
      </c>
      <c r="J96">
        <v>33750</v>
      </c>
      <c r="K96" t="str">
        <f>TEXT(B96,"mmm")</f>
        <v>Feb</v>
      </c>
    </row>
    <row r="97" spans="1:11" x14ac:dyDescent="0.25">
      <c r="A97" t="s">
        <v>53</v>
      </c>
      <c r="B97" s="4">
        <v>45961</v>
      </c>
      <c r="C97" t="s">
        <v>27</v>
      </c>
      <c r="D97" t="s">
        <v>16</v>
      </c>
      <c r="E97" t="s">
        <v>13</v>
      </c>
      <c r="F97">
        <v>8</v>
      </c>
      <c r="G97">
        <v>15000</v>
      </c>
      <c r="H97">
        <v>120000</v>
      </c>
      <c r="I97">
        <v>99600</v>
      </c>
      <c r="J97">
        <v>20400</v>
      </c>
      <c r="K97" t="str">
        <f>TEXT(B97,"mmm")</f>
        <v>Oct</v>
      </c>
    </row>
    <row r="98" spans="1:11" x14ac:dyDescent="0.25">
      <c r="A98" t="s">
        <v>132</v>
      </c>
      <c r="B98" s="4">
        <v>46040</v>
      </c>
      <c r="C98" t="s">
        <v>11</v>
      </c>
      <c r="D98" t="s">
        <v>16</v>
      </c>
      <c r="E98" t="s">
        <v>13</v>
      </c>
      <c r="F98">
        <v>8</v>
      </c>
      <c r="G98">
        <v>15000</v>
      </c>
      <c r="H98">
        <v>120000</v>
      </c>
      <c r="I98">
        <v>86400</v>
      </c>
      <c r="J98">
        <v>33600</v>
      </c>
      <c r="K98" t="str">
        <f>TEXT(B98,"mmm")</f>
        <v>Jan</v>
      </c>
    </row>
    <row r="99" spans="1:11" x14ac:dyDescent="0.25">
      <c r="A99" t="s">
        <v>383</v>
      </c>
      <c r="B99" s="4">
        <v>46291</v>
      </c>
      <c r="C99" t="s">
        <v>19</v>
      </c>
      <c r="D99" t="s">
        <v>12</v>
      </c>
      <c r="E99" t="s">
        <v>13</v>
      </c>
      <c r="F99">
        <v>6</v>
      </c>
      <c r="G99">
        <v>20000</v>
      </c>
      <c r="H99">
        <v>120000</v>
      </c>
      <c r="I99">
        <v>102000</v>
      </c>
      <c r="J99">
        <v>18000</v>
      </c>
      <c r="K99" t="str">
        <f>TEXT(B99,"mmm")</f>
        <v>Sep</v>
      </c>
    </row>
    <row r="100" spans="1:11" x14ac:dyDescent="0.25">
      <c r="A100" t="s">
        <v>506</v>
      </c>
      <c r="B100" s="4">
        <v>46414</v>
      </c>
      <c r="C100" t="s">
        <v>27</v>
      </c>
      <c r="D100" t="s">
        <v>16</v>
      </c>
      <c r="E100" t="s">
        <v>13</v>
      </c>
      <c r="F100">
        <v>8</v>
      </c>
      <c r="G100">
        <v>15000</v>
      </c>
      <c r="H100">
        <v>120000</v>
      </c>
      <c r="I100">
        <v>88800</v>
      </c>
      <c r="J100">
        <v>31200</v>
      </c>
      <c r="K100" t="str">
        <f>TEXT(B100,"mmm")</f>
        <v>Jan</v>
      </c>
    </row>
    <row r="101" spans="1:11" x14ac:dyDescent="0.25">
      <c r="A101" t="s">
        <v>509</v>
      </c>
      <c r="B101" s="4">
        <v>46417</v>
      </c>
      <c r="C101" t="s">
        <v>15</v>
      </c>
      <c r="D101" t="s">
        <v>12</v>
      </c>
      <c r="E101" t="s">
        <v>13</v>
      </c>
      <c r="F101">
        <v>6</v>
      </c>
      <c r="G101">
        <v>20000</v>
      </c>
      <c r="H101">
        <v>120000</v>
      </c>
      <c r="I101">
        <v>78000</v>
      </c>
      <c r="J101">
        <v>42000</v>
      </c>
      <c r="K101" t="str">
        <f>TEXT(B101,"mmm")</f>
        <v>Jan</v>
      </c>
    </row>
    <row r="102" spans="1:11" x14ac:dyDescent="0.25">
      <c r="A102" t="s">
        <v>516</v>
      </c>
      <c r="B102" s="4">
        <v>46424</v>
      </c>
      <c r="C102" t="s">
        <v>27</v>
      </c>
      <c r="D102" t="s">
        <v>16</v>
      </c>
      <c r="E102" t="s">
        <v>13</v>
      </c>
      <c r="F102">
        <v>8</v>
      </c>
      <c r="G102">
        <v>15000</v>
      </c>
      <c r="H102">
        <v>120000</v>
      </c>
      <c r="I102">
        <v>94800</v>
      </c>
      <c r="J102">
        <v>25200</v>
      </c>
      <c r="K102" t="str">
        <f>TEXT(B102,"mmm")</f>
        <v>Feb</v>
      </c>
    </row>
    <row r="103" spans="1:11" x14ac:dyDescent="0.25">
      <c r="A103" t="s">
        <v>72</v>
      </c>
      <c r="B103" s="4">
        <v>45980</v>
      </c>
      <c r="C103" t="s">
        <v>15</v>
      </c>
      <c r="D103" t="s">
        <v>16</v>
      </c>
      <c r="E103" t="s">
        <v>13</v>
      </c>
      <c r="F103">
        <v>7</v>
      </c>
      <c r="G103">
        <v>15000</v>
      </c>
      <c r="H103">
        <v>105000</v>
      </c>
      <c r="I103">
        <v>89250</v>
      </c>
      <c r="J103">
        <v>15750</v>
      </c>
      <c r="K103" t="str">
        <f>TEXT(B103,"mmm")</f>
        <v>Nov</v>
      </c>
    </row>
    <row r="104" spans="1:11" x14ac:dyDescent="0.25">
      <c r="A104" t="s">
        <v>86</v>
      </c>
      <c r="B104" s="4">
        <v>45994</v>
      </c>
      <c r="C104" t="s">
        <v>19</v>
      </c>
      <c r="D104" t="s">
        <v>16</v>
      </c>
      <c r="E104" t="s">
        <v>13</v>
      </c>
      <c r="F104">
        <v>7</v>
      </c>
      <c r="G104">
        <v>15000</v>
      </c>
      <c r="H104">
        <v>105000</v>
      </c>
      <c r="I104">
        <v>88200</v>
      </c>
      <c r="J104">
        <v>16800</v>
      </c>
      <c r="K104" t="str">
        <f>TEXT(B104,"mmm")</f>
        <v>Dec</v>
      </c>
    </row>
    <row r="105" spans="1:11" x14ac:dyDescent="0.25">
      <c r="A105" t="s">
        <v>113</v>
      </c>
      <c r="B105" s="4">
        <v>46021</v>
      </c>
      <c r="C105" t="s">
        <v>11</v>
      </c>
      <c r="D105" t="s">
        <v>16</v>
      </c>
      <c r="E105" t="s">
        <v>13</v>
      </c>
      <c r="F105">
        <v>7</v>
      </c>
      <c r="G105">
        <v>15000</v>
      </c>
      <c r="H105">
        <v>105000</v>
      </c>
      <c r="I105">
        <v>81900</v>
      </c>
      <c r="J105">
        <v>23100</v>
      </c>
      <c r="K105" t="str">
        <f>TEXT(B105,"mmm")</f>
        <v>Dec</v>
      </c>
    </row>
    <row r="106" spans="1:11" x14ac:dyDescent="0.25">
      <c r="A106" t="s">
        <v>192</v>
      </c>
      <c r="B106" s="4">
        <v>46100</v>
      </c>
      <c r="C106" t="s">
        <v>27</v>
      </c>
      <c r="D106" t="s">
        <v>16</v>
      </c>
      <c r="E106" t="s">
        <v>13</v>
      </c>
      <c r="F106">
        <v>7</v>
      </c>
      <c r="G106">
        <v>15000</v>
      </c>
      <c r="H106">
        <v>105000</v>
      </c>
      <c r="I106">
        <v>74550</v>
      </c>
      <c r="J106">
        <v>30450</v>
      </c>
      <c r="K106" t="str">
        <f>TEXT(B106,"mmm")</f>
        <v>Mar</v>
      </c>
    </row>
    <row r="107" spans="1:11" x14ac:dyDescent="0.25">
      <c r="A107" t="s">
        <v>341</v>
      </c>
      <c r="B107" s="4">
        <v>46249</v>
      </c>
      <c r="C107" t="s">
        <v>27</v>
      </c>
      <c r="D107" t="s">
        <v>16</v>
      </c>
      <c r="E107" t="s">
        <v>13</v>
      </c>
      <c r="F107">
        <v>7</v>
      </c>
      <c r="G107">
        <v>15000</v>
      </c>
      <c r="H107">
        <v>105000</v>
      </c>
      <c r="I107">
        <v>73500</v>
      </c>
      <c r="J107">
        <v>31500</v>
      </c>
      <c r="K107" t="str">
        <f>TEXT(B107,"mmm")</f>
        <v>Aug</v>
      </c>
    </row>
    <row r="108" spans="1:11" x14ac:dyDescent="0.25">
      <c r="A108" t="s">
        <v>358</v>
      </c>
      <c r="B108" s="4">
        <v>46266</v>
      </c>
      <c r="C108" t="s">
        <v>11</v>
      </c>
      <c r="D108" t="s">
        <v>16</v>
      </c>
      <c r="E108" t="s">
        <v>13</v>
      </c>
      <c r="F108">
        <v>7</v>
      </c>
      <c r="G108">
        <v>15000</v>
      </c>
      <c r="H108">
        <v>105000</v>
      </c>
      <c r="I108">
        <v>87150</v>
      </c>
      <c r="J108">
        <v>17850</v>
      </c>
      <c r="K108" t="str">
        <f>TEXT(B108,"mmm")</f>
        <v>Sep</v>
      </c>
    </row>
    <row r="109" spans="1:11" x14ac:dyDescent="0.25">
      <c r="A109" t="s">
        <v>476</v>
      </c>
      <c r="B109" s="4">
        <v>46384</v>
      </c>
      <c r="C109" t="s">
        <v>15</v>
      </c>
      <c r="D109" t="s">
        <v>16</v>
      </c>
      <c r="E109" t="s">
        <v>13</v>
      </c>
      <c r="F109">
        <v>7</v>
      </c>
      <c r="G109">
        <v>15000</v>
      </c>
      <c r="H109">
        <v>105000</v>
      </c>
      <c r="I109">
        <v>81900</v>
      </c>
      <c r="J109">
        <v>23100</v>
      </c>
      <c r="K109" t="str">
        <f>TEXT(B109,"mmm")</f>
        <v>Dec</v>
      </c>
    </row>
    <row r="110" spans="1:11" x14ac:dyDescent="0.25">
      <c r="A110" t="s">
        <v>65</v>
      </c>
      <c r="B110" s="4">
        <v>45973</v>
      </c>
      <c r="C110" t="s">
        <v>15</v>
      </c>
      <c r="D110" t="s">
        <v>12</v>
      </c>
      <c r="E110" t="s">
        <v>13</v>
      </c>
      <c r="F110">
        <v>5</v>
      </c>
      <c r="G110">
        <v>20000</v>
      </c>
      <c r="H110">
        <v>100000</v>
      </c>
      <c r="I110">
        <v>69000</v>
      </c>
      <c r="J110">
        <v>31000</v>
      </c>
      <c r="K110" t="str">
        <f>TEXT(B110,"mmm")</f>
        <v>Nov</v>
      </c>
    </row>
    <row r="111" spans="1:11" x14ac:dyDescent="0.25">
      <c r="A111" t="s">
        <v>101</v>
      </c>
      <c r="B111" s="4">
        <v>46009</v>
      </c>
      <c r="C111" t="s">
        <v>15</v>
      </c>
      <c r="D111" t="s">
        <v>12</v>
      </c>
      <c r="E111" t="s">
        <v>13</v>
      </c>
      <c r="F111">
        <v>5</v>
      </c>
      <c r="G111">
        <v>20000</v>
      </c>
      <c r="H111">
        <v>100000</v>
      </c>
      <c r="I111">
        <v>77000</v>
      </c>
      <c r="J111">
        <v>23000</v>
      </c>
      <c r="K111" t="str">
        <f>TEXT(B111,"mmm")</f>
        <v>Dec</v>
      </c>
    </row>
    <row r="112" spans="1:11" x14ac:dyDescent="0.25">
      <c r="A112" t="s">
        <v>150</v>
      </c>
      <c r="B112" s="4">
        <v>46058</v>
      </c>
      <c r="C112" t="s">
        <v>11</v>
      </c>
      <c r="D112" t="s">
        <v>12</v>
      </c>
      <c r="E112" t="s">
        <v>13</v>
      </c>
      <c r="F112">
        <v>5</v>
      </c>
      <c r="G112">
        <v>20000</v>
      </c>
      <c r="H112">
        <v>100000</v>
      </c>
      <c r="I112">
        <v>66000</v>
      </c>
      <c r="J112">
        <v>34000</v>
      </c>
      <c r="K112" t="str">
        <f>TEXT(B112,"mmm")</f>
        <v>Feb</v>
      </c>
    </row>
    <row r="113" spans="1:11" x14ac:dyDescent="0.25">
      <c r="A113" t="s">
        <v>154</v>
      </c>
      <c r="B113" s="4">
        <v>46062</v>
      </c>
      <c r="C113" t="s">
        <v>15</v>
      </c>
      <c r="D113" t="s">
        <v>36</v>
      </c>
      <c r="E113" t="s">
        <v>21</v>
      </c>
      <c r="F113">
        <v>10</v>
      </c>
      <c r="G113">
        <v>10000</v>
      </c>
      <c r="H113">
        <v>100000</v>
      </c>
      <c r="I113">
        <v>71000</v>
      </c>
      <c r="J113">
        <v>29000</v>
      </c>
      <c r="K113" t="str">
        <f>TEXT(B113,"mmm")</f>
        <v>Feb</v>
      </c>
    </row>
    <row r="114" spans="1:11" x14ac:dyDescent="0.25">
      <c r="A114" t="s">
        <v>187</v>
      </c>
      <c r="B114" s="4">
        <v>46095</v>
      </c>
      <c r="C114" t="s">
        <v>27</v>
      </c>
      <c r="D114" t="s">
        <v>36</v>
      </c>
      <c r="E114" t="s">
        <v>21</v>
      </c>
      <c r="F114">
        <v>10</v>
      </c>
      <c r="G114">
        <v>10000</v>
      </c>
      <c r="H114">
        <v>100000</v>
      </c>
      <c r="I114">
        <v>80000</v>
      </c>
      <c r="J114">
        <v>20000</v>
      </c>
      <c r="K114" t="str">
        <f>TEXT(B114,"mmm")</f>
        <v>Mar</v>
      </c>
    </row>
    <row r="115" spans="1:11" x14ac:dyDescent="0.25">
      <c r="A115" t="s">
        <v>234</v>
      </c>
      <c r="B115" s="4">
        <v>46142</v>
      </c>
      <c r="C115" t="s">
        <v>11</v>
      </c>
      <c r="D115" t="s">
        <v>30</v>
      </c>
      <c r="E115" t="s">
        <v>13</v>
      </c>
      <c r="F115">
        <v>2</v>
      </c>
      <c r="G115">
        <v>50000</v>
      </c>
      <c r="H115">
        <v>100000</v>
      </c>
      <c r="I115">
        <v>72000</v>
      </c>
      <c r="J115">
        <v>28000</v>
      </c>
      <c r="K115" t="str">
        <f>TEXT(B115,"mmm")</f>
        <v>Apr</v>
      </c>
    </row>
    <row r="116" spans="1:11" x14ac:dyDescent="0.25">
      <c r="A116" t="s">
        <v>242</v>
      </c>
      <c r="B116" s="4">
        <v>46150</v>
      </c>
      <c r="C116" t="s">
        <v>27</v>
      </c>
      <c r="D116" t="s">
        <v>30</v>
      </c>
      <c r="E116" t="s">
        <v>13</v>
      </c>
      <c r="F116">
        <v>2</v>
      </c>
      <c r="G116">
        <v>50000</v>
      </c>
      <c r="H116">
        <v>100000</v>
      </c>
      <c r="I116">
        <v>84000</v>
      </c>
      <c r="J116">
        <v>16000</v>
      </c>
      <c r="K116" t="str">
        <f>TEXT(B116,"mmm")</f>
        <v>May</v>
      </c>
    </row>
    <row r="117" spans="1:11" x14ac:dyDescent="0.25">
      <c r="A117" t="s">
        <v>263</v>
      </c>
      <c r="B117" s="4">
        <v>46171</v>
      </c>
      <c r="C117" t="s">
        <v>15</v>
      </c>
      <c r="D117" t="s">
        <v>36</v>
      </c>
      <c r="E117" t="s">
        <v>21</v>
      </c>
      <c r="F117">
        <v>10</v>
      </c>
      <c r="G117">
        <v>10000</v>
      </c>
      <c r="H117">
        <v>100000</v>
      </c>
      <c r="I117">
        <v>76000</v>
      </c>
      <c r="J117">
        <v>24000</v>
      </c>
      <c r="K117" t="str">
        <f>TEXT(B117,"mmm")</f>
        <v>May</v>
      </c>
    </row>
    <row r="118" spans="1:11" x14ac:dyDescent="0.25">
      <c r="A118" t="s">
        <v>322</v>
      </c>
      <c r="B118" s="4">
        <v>46230</v>
      </c>
      <c r="C118" t="s">
        <v>27</v>
      </c>
      <c r="D118" t="s">
        <v>36</v>
      </c>
      <c r="E118" t="s">
        <v>21</v>
      </c>
      <c r="F118">
        <v>10</v>
      </c>
      <c r="G118">
        <v>10000</v>
      </c>
      <c r="H118">
        <v>100000</v>
      </c>
      <c r="I118">
        <v>78000</v>
      </c>
      <c r="J118">
        <v>22000</v>
      </c>
      <c r="K118" t="str">
        <f>TEXT(B118,"mmm")</f>
        <v>Jul</v>
      </c>
    </row>
    <row r="119" spans="1:11" x14ac:dyDescent="0.25">
      <c r="A119" t="s">
        <v>347</v>
      </c>
      <c r="B119" s="4">
        <v>46255</v>
      </c>
      <c r="C119" t="s">
        <v>19</v>
      </c>
      <c r="D119" t="s">
        <v>12</v>
      </c>
      <c r="E119" t="s">
        <v>13</v>
      </c>
      <c r="F119">
        <v>5</v>
      </c>
      <c r="G119">
        <v>20000</v>
      </c>
      <c r="H119">
        <v>100000</v>
      </c>
      <c r="I119">
        <v>85000</v>
      </c>
      <c r="J119">
        <v>15000</v>
      </c>
      <c r="K119" t="str">
        <f>TEXT(B119,"mmm")</f>
        <v>Aug</v>
      </c>
    </row>
    <row r="120" spans="1:11" x14ac:dyDescent="0.25">
      <c r="A120" t="s">
        <v>349</v>
      </c>
      <c r="B120" s="4">
        <v>46257</v>
      </c>
      <c r="C120" t="s">
        <v>11</v>
      </c>
      <c r="D120" t="s">
        <v>12</v>
      </c>
      <c r="E120" t="s">
        <v>13</v>
      </c>
      <c r="F120">
        <v>5</v>
      </c>
      <c r="G120">
        <v>20000</v>
      </c>
      <c r="H120">
        <v>100000</v>
      </c>
      <c r="I120">
        <v>82000</v>
      </c>
      <c r="J120">
        <v>18000</v>
      </c>
      <c r="K120" t="str">
        <f>TEXT(B120,"mmm")</f>
        <v>Aug</v>
      </c>
    </row>
    <row r="121" spans="1:11" x14ac:dyDescent="0.25">
      <c r="A121" t="s">
        <v>379</v>
      </c>
      <c r="B121" s="4">
        <v>46287</v>
      </c>
      <c r="C121" t="s">
        <v>11</v>
      </c>
      <c r="D121" t="s">
        <v>36</v>
      </c>
      <c r="E121" t="s">
        <v>21</v>
      </c>
      <c r="F121">
        <v>10</v>
      </c>
      <c r="G121">
        <v>10000</v>
      </c>
      <c r="H121">
        <v>100000</v>
      </c>
      <c r="I121">
        <v>83000</v>
      </c>
      <c r="J121">
        <v>17000</v>
      </c>
      <c r="K121" t="str">
        <f>TEXT(B121,"mmm")</f>
        <v>Sep</v>
      </c>
    </row>
    <row r="122" spans="1:11" x14ac:dyDescent="0.25">
      <c r="A122" t="s">
        <v>424</v>
      </c>
      <c r="B122" s="4">
        <v>46332</v>
      </c>
      <c r="C122" t="s">
        <v>11</v>
      </c>
      <c r="D122" t="s">
        <v>36</v>
      </c>
      <c r="E122" t="s">
        <v>21</v>
      </c>
      <c r="F122">
        <v>10</v>
      </c>
      <c r="G122">
        <v>10000</v>
      </c>
      <c r="H122">
        <v>100000</v>
      </c>
      <c r="I122">
        <v>70000</v>
      </c>
      <c r="J122">
        <v>30000</v>
      </c>
      <c r="K122" t="str">
        <f>TEXT(B122,"mmm")</f>
        <v>Nov</v>
      </c>
    </row>
    <row r="123" spans="1:11" x14ac:dyDescent="0.25">
      <c r="A123" t="s">
        <v>455</v>
      </c>
      <c r="B123" s="4">
        <v>46363</v>
      </c>
      <c r="C123" t="s">
        <v>15</v>
      </c>
      <c r="D123" t="s">
        <v>36</v>
      </c>
      <c r="E123" t="s">
        <v>21</v>
      </c>
      <c r="F123">
        <v>10</v>
      </c>
      <c r="G123">
        <v>10000</v>
      </c>
      <c r="H123">
        <v>100000</v>
      </c>
      <c r="I123">
        <v>76000</v>
      </c>
      <c r="J123">
        <v>24000</v>
      </c>
      <c r="K123" t="str">
        <f>TEXT(B123,"mmm")</f>
        <v>Dec</v>
      </c>
    </row>
    <row r="124" spans="1:11" x14ac:dyDescent="0.25">
      <c r="A124" t="s">
        <v>467</v>
      </c>
      <c r="B124" s="4">
        <v>46375</v>
      </c>
      <c r="C124" t="s">
        <v>11</v>
      </c>
      <c r="D124" t="s">
        <v>36</v>
      </c>
      <c r="E124" t="s">
        <v>21</v>
      </c>
      <c r="F124">
        <v>10</v>
      </c>
      <c r="G124">
        <v>10000</v>
      </c>
      <c r="H124">
        <v>100000</v>
      </c>
      <c r="I124">
        <v>73000</v>
      </c>
      <c r="J124">
        <v>27000</v>
      </c>
      <c r="K124" t="str">
        <f>TEXT(B124,"mmm")</f>
        <v>Dec</v>
      </c>
    </row>
    <row r="125" spans="1:11" x14ac:dyDescent="0.25">
      <c r="A125" t="s">
        <v>508</v>
      </c>
      <c r="B125" s="4">
        <v>46416</v>
      </c>
      <c r="C125" t="s">
        <v>11</v>
      </c>
      <c r="D125" t="s">
        <v>12</v>
      </c>
      <c r="E125" t="s">
        <v>13</v>
      </c>
      <c r="F125">
        <v>5</v>
      </c>
      <c r="G125">
        <v>20000</v>
      </c>
      <c r="H125">
        <v>100000</v>
      </c>
      <c r="I125">
        <v>67000</v>
      </c>
      <c r="J125">
        <v>33000</v>
      </c>
      <c r="K125" t="str">
        <f>TEXT(B125,"mmm")</f>
        <v>Jan</v>
      </c>
    </row>
    <row r="126" spans="1:11" x14ac:dyDescent="0.25">
      <c r="A126" t="s">
        <v>510</v>
      </c>
      <c r="B126" s="4">
        <v>46418</v>
      </c>
      <c r="C126" t="s">
        <v>11</v>
      </c>
      <c r="D126" t="s">
        <v>30</v>
      </c>
      <c r="E126" t="s">
        <v>13</v>
      </c>
      <c r="F126">
        <v>2</v>
      </c>
      <c r="G126">
        <v>50000</v>
      </c>
      <c r="H126">
        <v>100000</v>
      </c>
      <c r="I126">
        <v>83000</v>
      </c>
      <c r="J126">
        <v>17000</v>
      </c>
      <c r="K126" t="str">
        <f>TEXT(B126,"mmm")</f>
        <v>Jan</v>
      </c>
    </row>
    <row r="127" spans="1:11" x14ac:dyDescent="0.25">
      <c r="A127" t="s">
        <v>42</v>
      </c>
      <c r="B127" s="4">
        <v>45951</v>
      </c>
      <c r="C127" t="s">
        <v>15</v>
      </c>
      <c r="D127" t="s">
        <v>36</v>
      </c>
      <c r="E127" t="s">
        <v>21</v>
      </c>
      <c r="F127">
        <v>9</v>
      </c>
      <c r="G127">
        <v>10000</v>
      </c>
      <c r="H127">
        <v>90000</v>
      </c>
      <c r="I127">
        <v>71100</v>
      </c>
      <c r="J127">
        <v>18900</v>
      </c>
      <c r="K127" t="str">
        <f>TEXT(B127,"mmm")</f>
        <v>Oct</v>
      </c>
    </row>
    <row r="128" spans="1:11" x14ac:dyDescent="0.25">
      <c r="A128" t="s">
        <v>73</v>
      </c>
      <c r="B128" s="4">
        <v>45981</v>
      </c>
      <c r="C128" t="s">
        <v>27</v>
      </c>
      <c r="D128" t="s">
        <v>36</v>
      </c>
      <c r="E128" t="s">
        <v>21</v>
      </c>
      <c r="F128">
        <v>9</v>
      </c>
      <c r="G128">
        <v>10000</v>
      </c>
      <c r="H128">
        <v>90000</v>
      </c>
      <c r="I128">
        <v>62100</v>
      </c>
      <c r="J128">
        <v>27900</v>
      </c>
      <c r="K128" t="str">
        <f>TEXT(B128,"mmm")</f>
        <v>Nov</v>
      </c>
    </row>
    <row r="129" spans="1:11" x14ac:dyDescent="0.25">
      <c r="A129" t="s">
        <v>199</v>
      </c>
      <c r="B129" s="4">
        <v>46107</v>
      </c>
      <c r="C129" t="s">
        <v>27</v>
      </c>
      <c r="D129" t="s">
        <v>36</v>
      </c>
      <c r="E129" t="s">
        <v>21</v>
      </c>
      <c r="F129">
        <v>9</v>
      </c>
      <c r="G129">
        <v>10000</v>
      </c>
      <c r="H129">
        <v>90000</v>
      </c>
      <c r="I129">
        <v>60300</v>
      </c>
      <c r="J129">
        <v>29700</v>
      </c>
      <c r="K129" t="str">
        <f>TEXT(B129,"mmm")</f>
        <v>Mar</v>
      </c>
    </row>
    <row r="130" spans="1:11" x14ac:dyDescent="0.25">
      <c r="A130" t="s">
        <v>271</v>
      </c>
      <c r="B130" s="4">
        <v>46179</v>
      </c>
      <c r="C130" t="s">
        <v>27</v>
      </c>
      <c r="D130" t="s">
        <v>16</v>
      </c>
      <c r="E130" t="s">
        <v>13</v>
      </c>
      <c r="F130">
        <v>6</v>
      </c>
      <c r="G130">
        <v>15000</v>
      </c>
      <c r="H130">
        <v>90000</v>
      </c>
      <c r="I130">
        <v>72900</v>
      </c>
      <c r="J130">
        <v>17100</v>
      </c>
      <c r="K130" t="str">
        <f>TEXT(B130,"mmm")</f>
        <v>Jun</v>
      </c>
    </row>
    <row r="131" spans="1:11" x14ac:dyDescent="0.25">
      <c r="A131" t="s">
        <v>297</v>
      </c>
      <c r="B131" s="4">
        <v>46205</v>
      </c>
      <c r="C131" t="s">
        <v>11</v>
      </c>
      <c r="D131" t="s">
        <v>36</v>
      </c>
      <c r="E131" t="s">
        <v>21</v>
      </c>
      <c r="F131">
        <v>9</v>
      </c>
      <c r="G131">
        <v>10000</v>
      </c>
      <c r="H131">
        <v>90000</v>
      </c>
      <c r="I131">
        <v>68400</v>
      </c>
      <c r="J131">
        <v>21600</v>
      </c>
      <c r="K131" t="str">
        <f>TEXT(B131,"mmm")</f>
        <v>Jul</v>
      </c>
    </row>
    <row r="132" spans="1:11" x14ac:dyDescent="0.25">
      <c r="A132" t="s">
        <v>312</v>
      </c>
      <c r="B132" s="4">
        <v>46220</v>
      </c>
      <c r="C132" t="s">
        <v>19</v>
      </c>
      <c r="D132" t="s">
        <v>36</v>
      </c>
      <c r="E132" t="s">
        <v>21</v>
      </c>
      <c r="F132">
        <v>9</v>
      </c>
      <c r="G132">
        <v>10000</v>
      </c>
      <c r="H132">
        <v>90000</v>
      </c>
      <c r="I132">
        <v>75600</v>
      </c>
      <c r="J132">
        <v>14400</v>
      </c>
      <c r="K132" t="str">
        <f>TEXT(B132,"mmm")</f>
        <v>Jul</v>
      </c>
    </row>
    <row r="133" spans="1:11" x14ac:dyDescent="0.25">
      <c r="A133" t="s">
        <v>319</v>
      </c>
      <c r="B133" s="4">
        <v>46227</v>
      </c>
      <c r="C133" t="s">
        <v>11</v>
      </c>
      <c r="D133" t="s">
        <v>16</v>
      </c>
      <c r="E133" t="s">
        <v>13</v>
      </c>
      <c r="F133">
        <v>6</v>
      </c>
      <c r="G133">
        <v>15000</v>
      </c>
      <c r="H133">
        <v>90000</v>
      </c>
      <c r="I133">
        <v>67500</v>
      </c>
      <c r="J133">
        <v>22500</v>
      </c>
      <c r="K133" t="str">
        <f>TEXT(B133,"mmm")</f>
        <v>Jul</v>
      </c>
    </row>
    <row r="134" spans="1:11" x14ac:dyDescent="0.25">
      <c r="A134" t="s">
        <v>390</v>
      </c>
      <c r="B134" s="4">
        <v>46298</v>
      </c>
      <c r="C134" t="s">
        <v>27</v>
      </c>
      <c r="D134" t="s">
        <v>16</v>
      </c>
      <c r="E134" t="s">
        <v>13</v>
      </c>
      <c r="F134">
        <v>6</v>
      </c>
      <c r="G134">
        <v>15000</v>
      </c>
      <c r="H134">
        <v>90000</v>
      </c>
      <c r="I134">
        <v>70200</v>
      </c>
      <c r="J134">
        <v>19800</v>
      </c>
      <c r="K134" t="str">
        <f>TEXT(B134,"mmm")</f>
        <v>Oct</v>
      </c>
    </row>
    <row r="135" spans="1:11" x14ac:dyDescent="0.25">
      <c r="A135" t="s">
        <v>423</v>
      </c>
      <c r="B135" s="4">
        <v>46331</v>
      </c>
      <c r="C135" t="s">
        <v>19</v>
      </c>
      <c r="D135" t="s">
        <v>36</v>
      </c>
      <c r="E135" t="s">
        <v>21</v>
      </c>
      <c r="F135">
        <v>9</v>
      </c>
      <c r="G135">
        <v>10000</v>
      </c>
      <c r="H135">
        <v>90000</v>
      </c>
      <c r="I135">
        <v>72900</v>
      </c>
      <c r="J135">
        <v>17100</v>
      </c>
      <c r="K135" t="str">
        <f>TEXT(B135,"mmm")</f>
        <v>Nov</v>
      </c>
    </row>
    <row r="136" spans="1:11" x14ac:dyDescent="0.25">
      <c r="A136" t="s">
        <v>477</v>
      </c>
      <c r="B136" s="4">
        <v>46385</v>
      </c>
      <c r="C136" t="s">
        <v>11</v>
      </c>
      <c r="D136" t="s">
        <v>36</v>
      </c>
      <c r="E136" t="s">
        <v>21</v>
      </c>
      <c r="F136">
        <v>9</v>
      </c>
      <c r="G136">
        <v>10000</v>
      </c>
      <c r="H136">
        <v>90000</v>
      </c>
      <c r="I136">
        <v>73800</v>
      </c>
      <c r="J136">
        <v>16200</v>
      </c>
      <c r="K136" t="str">
        <f>TEXT(B136,"mmm")</f>
        <v>Dec</v>
      </c>
    </row>
    <row r="137" spans="1:11" x14ac:dyDescent="0.25">
      <c r="A137" t="s">
        <v>487</v>
      </c>
      <c r="B137" s="4">
        <v>46395</v>
      </c>
      <c r="C137" t="s">
        <v>27</v>
      </c>
      <c r="D137" t="s">
        <v>16</v>
      </c>
      <c r="E137" t="s">
        <v>13</v>
      </c>
      <c r="F137">
        <v>6</v>
      </c>
      <c r="G137">
        <v>15000</v>
      </c>
      <c r="H137">
        <v>90000</v>
      </c>
      <c r="I137">
        <v>67500</v>
      </c>
      <c r="J137">
        <v>22500</v>
      </c>
      <c r="K137" t="str">
        <f>TEXT(B137,"mmm")</f>
        <v>Jan</v>
      </c>
    </row>
    <row r="138" spans="1:11" x14ac:dyDescent="0.25">
      <c r="A138" t="s">
        <v>92</v>
      </c>
      <c r="B138" s="4">
        <v>46000</v>
      </c>
      <c r="C138" t="s">
        <v>15</v>
      </c>
      <c r="D138" t="s">
        <v>36</v>
      </c>
      <c r="E138" t="s">
        <v>21</v>
      </c>
      <c r="F138">
        <v>8</v>
      </c>
      <c r="G138">
        <v>10000</v>
      </c>
      <c r="H138">
        <v>80000</v>
      </c>
      <c r="I138">
        <v>67200</v>
      </c>
      <c r="J138">
        <v>12800</v>
      </c>
      <c r="K138" t="str">
        <f>TEXT(B138,"mmm")</f>
        <v>Dec</v>
      </c>
    </row>
    <row r="139" spans="1:11" x14ac:dyDescent="0.25">
      <c r="A139" t="s">
        <v>94</v>
      </c>
      <c r="B139" s="4">
        <v>46002</v>
      </c>
      <c r="C139" t="s">
        <v>27</v>
      </c>
      <c r="D139" t="s">
        <v>36</v>
      </c>
      <c r="E139" t="s">
        <v>21</v>
      </c>
      <c r="F139">
        <v>8</v>
      </c>
      <c r="G139">
        <v>10000</v>
      </c>
      <c r="H139">
        <v>80000</v>
      </c>
      <c r="I139">
        <v>63200</v>
      </c>
      <c r="J139">
        <v>16800</v>
      </c>
      <c r="K139" t="str">
        <f>TEXT(B139,"mmm")</f>
        <v>Dec</v>
      </c>
    </row>
    <row r="140" spans="1:11" x14ac:dyDescent="0.25">
      <c r="A140" t="s">
        <v>102</v>
      </c>
      <c r="B140" s="4">
        <v>46010</v>
      </c>
      <c r="C140" t="s">
        <v>19</v>
      </c>
      <c r="D140" t="s">
        <v>36</v>
      </c>
      <c r="E140" t="s">
        <v>21</v>
      </c>
      <c r="F140">
        <v>8</v>
      </c>
      <c r="G140">
        <v>10000</v>
      </c>
      <c r="H140">
        <v>80000</v>
      </c>
      <c r="I140">
        <v>57600</v>
      </c>
      <c r="J140">
        <v>22400</v>
      </c>
      <c r="K140" t="str">
        <f>TEXT(B140,"mmm")</f>
        <v>Dec</v>
      </c>
    </row>
    <row r="141" spans="1:11" x14ac:dyDescent="0.25">
      <c r="A141" t="s">
        <v>118</v>
      </c>
      <c r="B141" s="4">
        <v>46026</v>
      </c>
      <c r="C141" t="s">
        <v>11</v>
      </c>
      <c r="D141" t="s">
        <v>12</v>
      </c>
      <c r="E141" t="s">
        <v>13</v>
      </c>
      <c r="F141">
        <v>4</v>
      </c>
      <c r="G141">
        <v>20000</v>
      </c>
      <c r="H141">
        <v>80000</v>
      </c>
      <c r="I141">
        <v>57600</v>
      </c>
      <c r="J141">
        <v>22400</v>
      </c>
      <c r="K141" t="str">
        <f>TEXT(B141,"mmm")</f>
        <v>Jan</v>
      </c>
    </row>
    <row r="142" spans="1:11" x14ac:dyDescent="0.25">
      <c r="A142" t="s">
        <v>163</v>
      </c>
      <c r="B142" s="4">
        <v>46071</v>
      </c>
      <c r="C142" t="s">
        <v>19</v>
      </c>
      <c r="D142" t="s">
        <v>36</v>
      </c>
      <c r="E142" t="s">
        <v>21</v>
      </c>
      <c r="F142">
        <v>8</v>
      </c>
      <c r="G142">
        <v>10000</v>
      </c>
      <c r="H142">
        <v>80000</v>
      </c>
      <c r="I142">
        <v>66400</v>
      </c>
      <c r="J142">
        <v>13600</v>
      </c>
      <c r="K142" t="str">
        <f>TEXT(B142,"mmm")</f>
        <v>Feb</v>
      </c>
    </row>
    <row r="143" spans="1:11" x14ac:dyDescent="0.25">
      <c r="A143" t="s">
        <v>169</v>
      </c>
      <c r="B143" s="4">
        <v>46077</v>
      </c>
      <c r="C143" t="s">
        <v>15</v>
      </c>
      <c r="D143" t="s">
        <v>12</v>
      </c>
      <c r="E143" t="s">
        <v>13</v>
      </c>
      <c r="F143">
        <v>4</v>
      </c>
      <c r="G143">
        <v>20000</v>
      </c>
      <c r="H143">
        <v>80000</v>
      </c>
      <c r="I143">
        <v>56000</v>
      </c>
      <c r="J143">
        <v>24000</v>
      </c>
      <c r="K143" t="str">
        <f>TEXT(B143,"mmm")</f>
        <v>Feb</v>
      </c>
    </row>
    <row r="144" spans="1:11" x14ac:dyDescent="0.25">
      <c r="A144" t="s">
        <v>171</v>
      </c>
      <c r="B144" s="4">
        <v>46079</v>
      </c>
      <c r="C144" t="s">
        <v>11</v>
      </c>
      <c r="D144" t="s">
        <v>36</v>
      </c>
      <c r="E144" t="s">
        <v>21</v>
      </c>
      <c r="F144">
        <v>8</v>
      </c>
      <c r="G144">
        <v>10000</v>
      </c>
      <c r="H144">
        <v>80000</v>
      </c>
      <c r="I144">
        <v>57600</v>
      </c>
      <c r="J144">
        <v>22400</v>
      </c>
      <c r="K144" t="str">
        <f>TEXT(B144,"mmm")</f>
        <v>Feb</v>
      </c>
    </row>
    <row r="145" spans="1:11" x14ac:dyDescent="0.25">
      <c r="A145" t="s">
        <v>201</v>
      </c>
      <c r="B145" s="4">
        <v>46109</v>
      </c>
      <c r="C145" t="s">
        <v>19</v>
      </c>
      <c r="D145" t="s">
        <v>49</v>
      </c>
      <c r="E145" t="s">
        <v>24</v>
      </c>
      <c r="F145">
        <v>10</v>
      </c>
      <c r="G145">
        <v>8000</v>
      </c>
      <c r="H145">
        <v>80000</v>
      </c>
      <c r="I145">
        <v>56000</v>
      </c>
      <c r="J145">
        <v>24000</v>
      </c>
      <c r="K145" t="str">
        <f>TEXT(B145,"mmm")</f>
        <v>Mar</v>
      </c>
    </row>
    <row r="146" spans="1:11" x14ac:dyDescent="0.25">
      <c r="A146" t="s">
        <v>229</v>
      </c>
      <c r="B146" s="4">
        <v>46137</v>
      </c>
      <c r="C146" t="s">
        <v>19</v>
      </c>
      <c r="D146" t="s">
        <v>12</v>
      </c>
      <c r="E146" t="s">
        <v>13</v>
      </c>
      <c r="F146">
        <v>4</v>
      </c>
      <c r="G146">
        <v>20000</v>
      </c>
      <c r="H146">
        <v>80000</v>
      </c>
      <c r="I146">
        <v>61600</v>
      </c>
      <c r="J146">
        <v>18400</v>
      </c>
      <c r="K146" t="str">
        <f>TEXT(B146,"mmm")</f>
        <v>Apr</v>
      </c>
    </row>
    <row r="147" spans="1:11" x14ac:dyDescent="0.25">
      <c r="A147" t="s">
        <v>244</v>
      </c>
      <c r="B147" s="4">
        <v>46152</v>
      </c>
      <c r="C147" t="s">
        <v>11</v>
      </c>
      <c r="D147" t="s">
        <v>12</v>
      </c>
      <c r="E147" t="s">
        <v>13</v>
      </c>
      <c r="F147">
        <v>4</v>
      </c>
      <c r="G147">
        <v>20000</v>
      </c>
      <c r="H147">
        <v>80000</v>
      </c>
      <c r="I147">
        <v>67200</v>
      </c>
      <c r="J147">
        <v>12800</v>
      </c>
      <c r="K147" t="str">
        <f>TEXT(B147,"mmm")</f>
        <v>May</v>
      </c>
    </row>
    <row r="148" spans="1:11" x14ac:dyDescent="0.25">
      <c r="A148" t="s">
        <v>258</v>
      </c>
      <c r="B148" s="4">
        <v>46166</v>
      </c>
      <c r="C148" t="s">
        <v>11</v>
      </c>
      <c r="D148" t="s">
        <v>49</v>
      </c>
      <c r="E148" t="s">
        <v>24</v>
      </c>
      <c r="F148">
        <v>10</v>
      </c>
      <c r="G148">
        <v>8000</v>
      </c>
      <c r="H148">
        <v>80000</v>
      </c>
      <c r="I148">
        <v>66400</v>
      </c>
      <c r="J148">
        <v>13600</v>
      </c>
      <c r="K148" t="str">
        <f>TEXT(B148,"mmm")</f>
        <v>May</v>
      </c>
    </row>
    <row r="149" spans="1:11" x14ac:dyDescent="0.25">
      <c r="A149" t="s">
        <v>261</v>
      </c>
      <c r="B149" s="4">
        <v>46169</v>
      </c>
      <c r="C149" t="s">
        <v>15</v>
      </c>
      <c r="D149" t="s">
        <v>36</v>
      </c>
      <c r="E149" t="s">
        <v>21</v>
      </c>
      <c r="F149">
        <v>8</v>
      </c>
      <c r="G149">
        <v>10000</v>
      </c>
      <c r="H149">
        <v>80000</v>
      </c>
      <c r="I149">
        <v>59200</v>
      </c>
      <c r="J149">
        <v>20800</v>
      </c>
      <c r="K149" t="str">
        <f>TEXT(B149,"mmm")</f>
        <v>May</v>
      </c>
    </row>
    <row r="150" spans="1:11" x14ac:dyDescent="0.25">
      <c r="A150" t="s">
        <v>277</v>
      </c>
      <c r="B150" s="4">
        <v>46185</v>
      </c>
      <c r="C150" t="s">
        <v>11</v>
      </c>
      <c r="D150" t="s">
        <v>49</v>
      </c>
      <c r="E150" t="s">
        <v>24</v>
      </c>
      <c r="F150">
        <v>10</v>
      </c>
      <c r="G150">
        <v>8000</v>
      </c>
      <c r="H150">
        <v>80000</v>
      </c>
      <c r="I150">
        <v>54400</v>
      </c>
      <c r="J150">
        <v>25600</v>
      </c>
      <c r="K150" t="str">
        <f>TEXT(B150,"mmm")</f>
        <v>Jun</v>
      </c>
    </row>
    <row r="151" spans="1:11" x14ac:dyDescent="0.25">
      <c r="A151" t="s">
        <v>285</v>
      </c>
      <c r="B151" s="4">
        <v>46193</v>
      </c>
      <c r="C151" t="s">
        <v>11</v>
      </c>
      <c r="D151" t="s">
        <v>36</v>
      </c>
      <c r="E151" t="s">
        <v>21</v>
      </c>
      <c r="F151">
        <v>8</v>
      </c>
      <c r="G151">
        <v>10000</v>
      </c>
      <c r="H151">
        <v>80000</v>
      </c>
      <c r="I151">
        <v>60000</v>
      </c>
      <c r="J151">
        <v>20000</v>
      </c>
      <c r="K151" t="str">
        <f>TEXT(B151,"mmm")</f>
        <v>Jun</v>
      </c>
    </row>
    <row r="152" spans="1:11" x14ac:dyDescent="0.25">
      <c r="A152" t="s">
        <v>300</v>
      </c>
      <c r="B152" s="4">
        <v>46208</v>
      </c>
      <c r="C152" t="s">
        <v>27</v>
      </c>
      <c r="D152" t="s">
        <v>36</v>
      </c>
      <c r="E152" t="s">
        <v>21</v>
      </c>
      <c r="F152">
        <v>8</v>
      </c>
      <c r="G152">
        <v>10000</v>
      </c>
      <c r="H152">
        <v>80000</v>
      </c>
      <c r="I152">
        <v>62400</v>
      </c>
      <c r="J152">
        <v>17600</v>
      </c>
      <c r="K152" t="str">
        <f>TEXT(B152,"mmm")</f>
        <v>Jul</v>
      </c>
    </row>
    <row r="153" spans="1:11" x14ac:dyDescent="0.25">
      <c r="A153" t="s">
        <v>328</v>
      </c>
      <c r="B153" s="4">
        <v>46236</v>
      </c>
      <c r="C153" t="s">
        <v>11</v>
      </c>
      <c r="D153" t="s">
        <v>12</v>
      </c>
      <c r="E153" t="s">
        <v>13</v>
      </c>
      <c r="F153">
        <v>4</v>
      </c>
      <c r="G153">
        <v>20000</v>
      </c>
      <c r="H153">
        <v>80000</v>
      </c>
      <c r="I153">
        <v>57600</v>
      </c>
      <c r="J153">
        <v>22400</v>
      </c>
      <c r="K153" t="str">
        <f>TEXT(B153,"mmm")</f>
        <v>Aug</v>
      </c>
    </row>
    <row r="154" spans="1:11" x14ac:dyDescent="0.25">
      <c r="A154" t="s">
        <v>376</v>
      </c>
      <c r="B154" s="4">
        <v>46284</v>
      </c>
      <c r="C154" t="s">
        <v>11</v>
      </c>
      <c r="D154" t="s">
        <v>49</v>
      </c>
      <c r="E154" t="s">
        <v>24</v>
      </c>
      <c r="F154">
        <v>10</v>
      </c>
      <c r="G154">
        <v>8000</v>
      </c>
      <c r="H154">
        <v>80000</v>
      </c>
      <c r="I154">
        <v>52000</v>
      </c>
      <c r="J154">
        <v>28000</v>
      </c>
      <c r="K154" t="str">
        <f>TEXT(B154,"mmm")</f>
        <v>Sep</v>
      </c>
    </row>
    <row r="155" spans="1:11" x14ac:dyDescent="0.25">
      <c r="A155" t="s">
        <v>427</v>
      </c>
      <c r="B155" s="4">
        <v>46335</v>
      </c>
      <c r="C155" t="s">
        <v>27</v>
      </c>
      <c r="D155" t="s">
        <v>12</v>
      </c>
      <c r="E155" t="s">
        <v>13</v>
      </c>
      <c r="F155">
        <v>4</v>
      </c>
      <c r="G155">
        <v>20000</v>
      </c>
      <c r="H155">
        <v>80000</v>
      </c>
      <c r="I155">
        <v>56800</v>
      </c>
      <c r="J155">
        <v>23200</v>
      </c>
      <c r="K155" t="str">
        <f>TEXT(B155,"mmm")</f>
        <v>Nov</v>
      </c>
    </row>
    <row r="156" spans="1:11" x14ac:dyDescent="0.25">
      <c r="A156" t="s">
        <v>462</v>
      </c>
      <c r="B156" s="4">
        <v>46370</v>
      </c>
      <c r="C156" t="s">
        <v>19</v>
      </c>
      <c r="D156" t="s">
        <v>12</v>
      </c>
      <c r="E156" t="s">
        <v>13</v>
      </c>
      <c r="F156">
        <v>4</v>
      </c>
      <c r="G156">
        <v>20000</v>
      </c>
      <c r="H156">
        <v>80000</v>
      </c>
      <c r="I156">
        <v>53600</v>
      </c>
      <c r="J156">
        <v>26400</v>
      </c>
      <c r="K156" t="str">
        <f>TEXT(B156,"mmm")</f>
        <v>Dec</v>
      </c>
    </row>
    <row r="157" spans="1:11" x14ac:dyDescent="0.25">
      <c r="A157" t="s">
        <v>26</v>
      </c>
      <c r="B157" s="4">
        <v>45939</v>
      </c>
      <c r="C157" t="s">
        <v>27</v>
      </c>
      <c r="D157" t="s">
        <v>16</v>
      </c>
      <c r="E157" t="s">
        <v>13</v>
      </c>
      <c r="F157">
        <v>5</v>
      </c>
      <c r="G157">
        <v>15000</v>
      </c>
      <c r="H157">
        <v>75000</v>
      </c>
      <c r="I157">
        <v>58500</v>
      </c>
      <c r="J157">
        <v>16500</v>
      </c>
      <c r="K157" t="str">
        <f>TEXT(B157,"mmm")</f>
        <v>Oct</v>
      </c>
    </row>
    <row r="158" spans="1:11" x14ac:dyDescent="0.25">
      <c r="A158" t="s">
        <v>136</v>
      </c>
      <c r="B158" s="4">
        <v>46044</v>
      </c>
      <c r="C158" t="s">
        <v>15</v>
      </c>
      <c r="D158" t="s">
        <v>16</v>
      </c>
      <c r="E158" t="s">
        <v>13</v>
      </c>
      <c r="F158">
        <v>5</v>
      </c>
      <c r="G158">
        <v>15000</v>
      </c>
      <c r="H158">
        <v>75000</v>
      </c>
      <c r="I158">
        <v>62250</v>
      </c>
      <c r="J158">
        <v>12750</v>
      </c>
      <c r="K158" t="str">
        <f>TEXT(B158,"mmm")</f>
        <v>Jan</v>
      </c>
    </row>
    <row r="159" spans="1:11" x14ac:dyDescent="0.25">
      <c r="A159" t="s">
        <v>146</v>
      </c>
      <c r="B159" s="4">
        <v>46054</v>
      </c>
      <c r="C159" t="s">
        <v>19</v>
      </c>
      <c r="D159" t="s">
        <v>16</v>
      </c>
      <c r="E159" t="s">
        <v>13</v>
      </c>
      <c r="F159">
        <v>5</v>
      </c>
      <c r="G159">
        <v>15000</v>
      </c>
      <c r="H159">
        <v>75000</v>
      </c>
      <c r="I159">
        <v>53250</v>
      </c>
      <c r="J159">
        <v>21750</v>
      </c>
      <c r="K159" t="str">
        <f>TEXT(B159,"mmm")</f>
        <v>Feb</v>
      </c>
    </row>
    <row r="160" spans="1:11" x14ac:dyDescent="0.25">
      <c r="A160" t="s">
        <v>308</v>
      </c>
      <c r="B160" s="4">
        <v>46216</v>
      </c>
      <c r="C160" t="s">
        <v>19</v>
      </c>
      <c r="D160" t="s">
        <v>16</v>
      </c>
      <c r="E160" t="s">
        <v>13</v>
      </c>
      <c r="F160">
        <v>5</v>
      </c>
      <c r="G160">
        <v>15000</v>
      </c>
      <c r="H160">
        <v>75000</v>
      </c>
      <c r="I160">
        <v>54750</v>
      </c>
      <c r="J160">
        <v>20250</v>
      </c>
      <c r="K160" t="str">
        <f>TEXT(B160,"mmm")</f>
        <v>Jul</v>
      </c>
    </row>
    <row r="161" spans="1:11" x14ac:dyDescent="0.25">
      <c r="A161" t="s">
        <v>433</v>
      </c>
      <c r="B161" s="4">
        <v>46341</v>
      </c>
      <c r="C161" t="s">
        <v>27</v>
      </c>
      <c r="D161" t="s">
        <v>16</v>
      </c>
      <c r="E161" t="s">
        <v>13</v>
      </c>
      <c r="F161">
        <v>5</v>
      </c>
      <c r="G161">
        <v>15000</v>
      </c>
      <c r="H161">
        <v>75000</v>
      </c>
      <c r="I161">
        <v>59250</v>
      </c>
      <c r="J161">
        <v>15750</v>
      </c>
      <c r="K161" t="str">
        <f>TEXT(B161,"mmm")</f>
        <v>Nov</v>
      </c>
    </row>
    <row r="162" spans="1:11" x14ac:dyDescent="0.25">
      <c r="A162" t="s">
        <v>461</v>
      </c>
      <c r="B162" s="4">
        <v>46369</v>
      </c>
      <c r="C162" t="s">
        <v>15</v>
      </c>
      <c r="D162" t="s">
        <v>16</v>
      </c>
      <c r="E162" t="s">
        <v>13</v>
      </c>
      <c r="F162">
        <v>5</v>
      </c>
      <c r="G162">
        <v>15000</v>
      </c>
      <c r="H162">
        <v>75000</v>
      </c>
      <c r="I162">
        <v>53250</v>
      </c>
      <c r="J162">
        <v>21750</v>
      </c>
      <c r="K162" t="str">
        <f>TEXT(B162,"mmm")</f>
        <v>Dec</v>
      </c>
    </row>
    <row r="163" spans="1:11" x14ac:dyDescent="0.25">
      <c r="A163" t="s">
        <v>484</v>
      </c>
      <c r="B163" s="4">
        <v>46392</v>
      </c>
      <c r="C163" t="s">
        <v>19</v>
      </c>
      <c r="D163" t="s">
        <v>16</v>
      </c>
      <c r="E163" t="s">
        <v>13</v>
      </c>
      <c r="F163">
        <v>5</v>
      </c>
      <c r="G163">
        <v>15000</v>
      </c>
      <c r="H163">
        <v>75000</v>
      </c>
      <c r="I163">
        <v>63000</v>
      </c>
      <c r="J163">
        <v>12000</v>
      </c>
      <c r="K163" t="str">
        <f>TEXT(B163,"mmm")</f>
        <v>Jan</v>
      </c>
    </row>
    <row r="164" spans="1:11" x14ac:dyDescent="0.25">
      <c r="A164" t="s">
        <v>117</v>
      </c>
      <c r="B164" s="4">
        <v>46025</v>
      </c>
      <c r="C164" t="s">
        <v>11</v>
      </c>
      <c r="D164" t="s">
        <v>49</v>
      </c>
      <c r="E164" t="s">
        <v>24</v>
      </c>
      <c r="F164">
        <v>9</v>
      </c>
      <c r="G164">
        <v>8000</v>
      </c>
      <c r="H164">
        <v>72000</v>
      </c>
      <c r="I164">
        <v>56160</v>
      </c>
      <c r="J164">
        <v>15840</v>
      </c>
      <c r="K164" t="str">
        <f>TEXT(B164,"mmm")</f>
        <v>Jan</v>
      </c>
    </row>
    <row r="165" spans="1:11" x14ac:dyDescent="0.25">
      <c r="A165" t="s">
        <v>183</v>
      </c>
      <c r="B165" s="4">
        <v>46091</v>
      </c>
      <c r="C165" t="s">
        <v>19</v>
      </c>
      <c r="D165" t="s">
        <v>49</v>
      </c>
      <c r="E165" t="s">
        <v>24</v>
      </c>
      <c r="F165">
        <v>9</v>
      </c>
      <c r="G165">
        <v>8000</v>
      </c>
      <c r="H165">
        <v>72000</v>
      </c>
      <c r="I165">
        <v>56880</v>
      </c>
      <c r="J165">
        <v>15120</v>
      </c>
      <c r="K165" t="str">
        <f>TEXT(B165,"mmm")</f>
        <v>Mar</v>
      </c>
    </row>
    <row r="166" spans="1:11" x14ac:dyDescent="0.25">
      <c r="A166" t="s">
        <v>193</v>
      </c>
      <c r="B166" s="4">
        <v>46101</v>
      </c>
      <c r="C166" t="s">
        <v>15</v>
      </c>
      <c r="D166" t="s">
        <v>49</v>
      </c>
      <c r="E166" t="s">
        <v>24</v>
      </c>
      <c r="F166">
        <v>9</v>
      </c>
      <c r="G166">
        <v>8000</v>
      </c>
      <c r="H166">
        <v>72000</v>
      </c>
      <c r="I166">
        <v>54720</v>
      </c>
      <c r="J166">
        <v>17280</v>
      </c>
      <c r="K166" t="str">
        <f>TEXT(B166,"mmm")</f>
        <v>Mar</v>
      </c>
    </row>
    <row r="167" spans="1:11" x14ac:dyDescent="0.25">
      <c r="A167" t="s">
        <v>413</v>
      </c>
      <c r="B167" s="4">
        <v>46321</v>
      </c>
      <c r="C167" t="s">
        <v>15</v>
      </c>
      <c r="D167" t="s">
        <v>49</v>
      </c>
      <c r="E167" t="s">
        <v>24</v>
      </c>
      <c r="F167">
        <v>9</v>
      </c>
      <c r="G167">
        <v>8000</v>
      </c>
      <c r="H167">
        <v>72000</v>
      </c>
      <c r="I167">
        <v>58320</v>
      </c>
      <c r="J167">
        <v>13680</v>
      </c>
      <c r="K167" t="str">
        <f>TEXT(B167,"mmm")</f>
        <v>Oct</v>
      </c>
    </row>
    <row r="168" spans="1:11" x14ac:dyDescent="0.25">
      <c r="A168" t="s">
        <v>421</v>
      </c>
      <c r="B168" s="4">
        <v>46329</v>
      </c>
      <c r="C168" t="s">
        <v>15</v>
      </c>
      <c r="D168" t="s">
        <v>49</v>
      </c>
      <c r="E168" t="s">
        <v>24</v>
      </c>
      <c r="F168">
        <v>9</v>
      </c>
      <c r="G168">
        <v>8000</v>
      </c>
      <c r="H168">
        <v>72000</v>
      </c>
      <c r="I168">
        <v>54000</v>
      </c>
      <c r="J168">
        <v>18000</v>
      </c>
      <c r="K168" t="str">
        <f>TEXT(B168,"mmm")</f>
        <v>Nov</v>
      </c>
    </row>
    <row r="169" spans="1:11" x14ac:dyDescent="0.25">
      <c r="A169" t="s">
        <v>468</v>
      </c>
      <c r="B169" s="4">
        <v>46376</v>
      </c>
      <c r="C169" t="s">
        <v>15</v>
      </c>
      <c r="D169" t="s">
        <v>49</v>
      </c>
      <c r="E169" t="s">
        <v>24</v>
      </c>
      <c r="F169">
        <v>9</v>
      </c>
      <c r="G169">
        <v>8000</v>
      </c>
      <c r="H169">
        <v>72000</v>
      </c>
      <c r="I169">
        <v>61200</v>
      </c>
      <c r="J169">
        <v>10800</v>
      </c>
      <c r="K169" t="str">
        <f>TEXT(B169,"mmm")</f>
        <v>Dec</v>
      </c>
    </row>
    <row r="170" spans="1:11" x14ac:dyDescent="0.25">
      <c r="A170" t="s">
        <v>491</v>
      </c>
      <c r="B170" s="4">
        <v>46399</v>
      </c>
      <c r="C170" t="s">
        <v>11</v>
      </c>
      <c r="D170" t="s">
        <v>49</v>
      </c>
      <c r="E170" t="s">
        <v>24</v>
      </c>
      <c r="F170">
        <v>9</v>
      </c>
      <c r="G170">
        <v>8000</v>
      </c>
      <c r="H170">
        <v>72000</v>
      </c>
      <c r="I170">
        <v>51840</v>
      </c>
      <c r="J170">
        <v>20160</v>
      </c>
      <c r="K170" t="str">
        <f>TEXT(B170,"mmm")</f>
        <v>Jan</v>
      </c>
    </row>
    <row r="171" spans="1:11" x14ac:dyDescent="0.25">
      <c r="A171" t="s">
        <v>219</v>
      </c>
      <c r="B171" s="4">
        <v>46127</v>
      </c>
      <c r="C171" t="s">
        <v>19</v>
      </c>
      <c r="D171" t="s">
        <v>36</v>
      </c>
      <c r="E171" t="s">
        <v>21</v>
      </c>
      <c r="F171">
        <v>7</v>
      </c>
      <c r="G171">
        <v>10000</v>
      </c>
      <c r="H171">
        <v>70000</v>
      </c>
      <c r="I171">
        <v>56700</v>
      </c>
      <c r="J171">
        <v>13300</v>
      </c>
      <c r="K171" t="str">
        <f>TEXT(B171,"mmm")</f>
        <v>Apr</v>
      </c>
    </row>
    <row r="172" spans="1:11" x14ac:dyDescent="0.25">
      <c r="A172" t="s">
        <v>238</v>
      </c>
      <c r="B172" s="4">
        <v>46146</v>
      </c>
      <c r="C172" t="s">
        <v>19</v>
      </c>
      <c r="D172" t="s">
        <v>36</v>
      </c>
      <c r="E172" t="s">
        <v>21</v>
      </c>
      <c r="F172">
        <v>7</v>
      </c>
      <c r="G172">
        <v>10000</v>
      </c>
      <c r="H172">
        <v>70000</v>
      </c>
      <c r="I172">
        <v>48300</v>
      </c>
      <c r="J172">
        <v>21700</v>
      </c>
      <c r="K172" t="str">
        <f>TEXT(B172,"mmm")</f>
        <v>May</v>
      </c>
    </row>
    <row r="173" spans="1:11" x14ac:dyDescent="0.25">
      <c r="A173" t="s">
        <v>278</v>
      </c>
      <c r="B173" s="4">
        <v>46186</v>
      </c>
      <c r="C173" t="s">
        <v>27</v>
      </c>
      <c r="D173" t="s">
        <v>36</v>
      </c>
      <c r="E173" t="s">
        <v>21</v>
      </c>
      <c r="F173">
        <v>7</v>
      </c>
      <c r="G173">
        <v>10000</v>
      </c>
      <c r="H173">
        <v>70000</v>
      </c>
      <c r="I173">
        <v>45500</v>
      </c>
      <c r="J173">
        <v>24500</v>
      </c>
      <c r="K173" t="str">
        <f>TEXT(B173,"mmm")</f>
        <v>Jun</v>
      </c>
    </row>
    <row r="174" spans="1:11" x14ac:dyDescent="0.25">
      <c r="A174" t="s">
        <v>381</v>
      </c>
      <c r="B174" s="4">
        <v>46289</v>
      </c>
      <c r="C174" t="s">
        <v>27</v>
      </c>
      <c r="D174" t="s">
        <v>36</v>
      </c>
      <c r="E174" t="s">
        <v>21</v>
      </c>
      <c r="F174">
        <v>7</v>
      </c>
      <c r="G174">
        <v>10000</v>
      </c>
      <c r="H174">
        <v>70000</v>
      </c>
      <c r="I174">
        <v>52500</v>
      </c>
      <c r="J174">
        <v>17500</v>
      </c>
      <c r="K174" t="str">
        <f>TEXT(B174,"mmm")</f>
        <v>Sep</v>
      </c>
    </row>
    <row r="175" spans="1:11" x14ac:dyDescent="0.25">
      <c r="A175" t="s">
        <v>490</v>
      </c>
      <c r="B175" s="4">
        <v>46398</v>
      </c>
      <c r="C175" t="s">
        <v>19</v>
      </c>
      <c r="D175" t="s">
        <v>36</v>
      </c>
      <c r="E175" t="s">
        <v>21</v>
      </c>
      <c r="F175">
        <v>7</v>
      </c>
      <c r="G175">
        <v>10000</v>
      </c>
      <c r="H175">
        <v>70000</v>
      </c>
      <c r="I175">
        <v>58100</v>
      </c>
      <c r="J175">
        <v>11900</v>
      </c>
      <c r="K175" t="str">
        <f>TEXT(B175,"mmm")</f>
        <v>Jan</v>
      </c>
    </row>
    <row r="176" spans="1:11" x14ac:dyDescent="0.25">
      <c r="A176" t="s">
        <v>367</v>
      </c>
      <c r="B176" s="4">
        <v>46275</v>
      </c>
      <c r="C176" t="s">
        <v>19</v>
      </c>
      <c r="D176" t="s">
        <v>49</v>
      </c>
      <c r="E176" t="s">
        <v>24</v>
      </c>
      <c r="F176">
        <v>8</v>
      </c>
      <c r="G176">
        <v>8000</v>
      </c>
      <c r="H176">
        <v>64000</v>
      </c>
      <c r="I176">
        <v>52480</v>
      </c>
      <c r="J176">
        <v>11520</v>
      </c>
      <c r="K176" t="str">
        <f>TEXT(B176,"mmm")</f>
        <v>Sep</v>
      </c>
    </row>
    <row r="177" spans="1:11" x14ac:dyDescent="0.25">
      <c r="A177" t="s">
        <v>473</v>
      </c>
      <c r="B177" s="4">
        <v>46381</v>
      </c>
      <c r="C177" t="s">
        <v>19</v>
      </c>
      <c r="D177" t="s">
        <v>49</v>
      </c>
      <c r="E177" t="s">
        <v>24</v>
      </c>
      <c r="F177">
        <v>8</v>
      </c>
      <c r="G177">
        <v>8000</v>
      </c>
      <c r="H177">
        <v>64000</v>
      </c>
      <c r="I177">
        <v>53120</v>
      </c>
      <c r="J177">
        <v>10880</v>
      </c>
      <c r="K177" t="str">
        <f>TEXT(B177,"mmm")</f>
        <v>Dec</v>
      </c>
    </row>
    <row r="178" spans="1:11" x14ac:dyDescent="0.25">
      <c r="A178" t="s">
        <v>35</v>
      </c>
      <c r="B178" s="4">
        <v>45945</v>
      </c>
      <c r="C178" t="s">
        <v>27</v>
      </c>
      <c r="D178" t="s">
        <v>36</v>
      </c>
      <c r="E178" t="s">
        <v>21</v>
      </c>
      <c r="F178">
        <v>6</v>
      </c>
      <c r="G178">
        <v>10000</v>
      </c>
      <c r="H178">
        <v>60000</v>
      </c>
      <c r="I178">
        <v>42000</v>
      </c>
      <c r="J178">
        <v>18000</v>
      </c>
      <c r="K178" t="str">
        <f>TEXT(B178,"mmm")</f>
        <v>Oct</v>
      </c>
    </row>
    <row r="179" spans="1:11" x14ac:dyDescent="0.25">
      <c r="A179" t="s">
        <v>56</v>
      </c>
      <c r="B179" s="4">
        <v>45964</v>
      </c>
      <c r="C179" t="s">
        <v>27</v>
      </c>
      <c r="D179" t="s">
        <v>36</v>
      </c>
      <c r="E179" t="s">
        <v>21</v>
      </c>
      <c r="F179">
        <v>6</v>
      </c>
      <c r="G179">
        <v>10000</v>
      </c>
      <c r="H179">
        <v>60000</v>
      </c>
      <c r="I179">
        <v>49800</v>
      </c>
      <c r="J179">
        <v>10200</v>
      </c>
      <c r="K179" t="str">
        <f>TEXT(B179,"mmm")</f>
        <v>Nov</v>
      </c>
    </row>
    <row r="180" spans="1:11" x14ac:dyDescent="0.25">
      <c r="A180" t="s">
        <v>100</v>
      </c>
      <c r="B180" s="4">
        <v>46008</v>
      </c>
      <c r="C180" t="s">
        <v>27</v>
      </c>
      <c r="D180" t="s">
        <v>16</v>
      </c>
      <c r="E180" t="s">
        <v>13</v>
      </c>
      <c r="F180">
        <v>4</v>
      </c>
      <c r="G180">
        <v>15000</v>
      </c>
      <c r="H180">
        <v>60000</v>
      </c>
      <c r="I180">
        <v>42600</v>
      </c>
      <c r="J180">
        <v>17400</v>
      </c>
      <c r="K180" t="str">
        <f>TEXT(B180,"mmm")</f>
        <v>Dec</v>
      </c>
    </row>
    <row r="181" spans="1:11" x14ac:dyDescent="0.25">
      <c r="A181" t="s">
        <v>131</v>
      </c>
      <c r="B181" s="4">
        <v>46039</v>
      </c>
      <c r="C181" t="s">
        <v>15</v>
      </c>
      <c r="D181" t="s">
        <v>12</v>
      </c>
      <c r="E181" t="s">
        <v>13</v>
      </c>
      <c r="F181">
        <v>3</v>
      </c>
      <c r="G181">
        <v>20000</v>
      </c>
      <c r="H181">
        <v>60000</v>
      </c>
      <c r="I181">
        <v>50400</v>
      </c>
      <c r="J181">
        <v>9600</v>
      </c>
      <c r="K181" t="str">
        <f>TEXT(B181,"mmm")</f>
        <v>Jan</v>
      </c>
    </row>
    <row r="182" spans="1:11" x14ac:dyDescent="0.25">
      <c r="A182" t="s">
        <v>140</v>
      </c>
      <c r="B182" s="4">
        <v>46048</v>
      </c>
      <c r="C182" t="s">
        <v>15</v>
      </c>
      <c r="D182" t="s">
        <v>16</v>
      </c>
      <c r="E182" t="s">
        <v>13</v>
      </c>
      <c r="F182">
        <v>4</v>
      </c>
      <c r="G182">
        <v>15000</v>
      </c>
      <c r="H182">
        <v>60000</v>
      </c>
      <c r="I182">
        <v>43200</v>
      </c>
      <c r="J182">
        <v>16800</v>
      </c>
      <c r="K182" t="str">
        <f>TEXT(B182,"mmm")</f>
        <v>Jan</v>
      </c>
    </row>
    <row r="183" spans="1:11" x14ac:dyDescent="0.25">
      <c r="A183" t="s">
        <v>143</v>
      </c>
      <c r="B183" s="4">
        <v>46051</v>
      </c>
      <c r="C183" t="s">
        <v>19</v>
      </c>
      <c r="D183" t="s">
        <v>36</v>
      </c>
      <c r="E183" t="s">
        <v>21</v>
      </c>
      <c r="F183">
        <v>6</v>
      </c>
      <c r="G183">
        <v>10000</v>
      </c>
      <c r="H183">
        <v>60000</v>
      </c>
      <c r="I183">
        <v>51000</v>
      </c>
      <c r="J183">
        <v>9000</v>
      </c>
      <c r="K183" t="str">
        <f>TEXT(B183,"mmm")</f>
        <v>Jan</v>
      </c>
    </row>
    <row r="184" spans="1:11" x14ac:dyDescent="0.25">
      <c r="A184" t="s">
        <v>145</v>
      </c>
      <c r="B184" s="4">
        <v>46053</v>
      </c>
      <c r="C184" t="s">
        <v>11</v>
      </c>
      <c r="D184" t="s">
        <v>36</v>
      </c>
      <c r="E184" t="s">
        <v>21</v>
      </c>
      <c r="F184">
        <v>6</v>
      </c>
      <c r="G184">
        <v>10000</v>
      </c>
      <c r="H184">
        <v>60000</v>
      </c>
      <c r="I184">
        <v>45000</v>
      </c>
      <c r="J184">
        <v>15000</v>
      </c>
      <c r="K184" t="str">
        <f>TEXT(B184,"mmm")</f>
        <v>Jan</v>
      </c>
    </row>
    <row r="185" spans="1:11" x14ac:dyDescent="0.25">
      <c r="A185" t="s">
        <v>240</v>
      </c>
      <c r="B185" s="4">
        <v>46148</v>
      </c>
      <c r="C185" t="s">
        <v>19</v>
      </c>
      <c r="D185" t="s">
        <v>12</v>
      </c>
      <c r="E185" t="s">
        <v>13</v>
      </c>
      <c r="F185">
        <v>3</v>
      </c>
      <c r="G185">
        <v>20000</v>
      </c>
      <c r="H185">
        <v>60000</v>
      </c>
      <c r="I185">
        <v>40200</v>
      </c>
      <c r="J185">
        <v>19800</v>
      </c>
      <c r="K185" t="str">
        <f>TEXT(B185,"mmm")</f>
        <v>May</v>
      </c>
    </row>
    <row r="186" spans="1:11" x14ac:dyDescent="0.25">
      <c r="A186" t="s">
        <v>254</v>
      </c>
      <c r="B186" s="4">
        <v>46162</v>
      </c>
      <c r="C186" t="s">
        <v>11</v>
      </c>
      <c r="D186" t="s">
        <v>36</v>
      </c>
      <c r="E186" t="s">
        <v>21</v>
      </c>
      <c r="F186">
        <v>6</v>
      </c>
      <c r="G186">
        <v>10000</v>
      </c>
      <c r="H186">
        <v>60000</v>
      </c>
      <c r="I186">
        <v>45000</v>
      </c>
      <c r="J186">
        <v>15000</v>
      </c>
      <c r="K186" t="str">
        <f>TEXT(B186,"mmm")</f>
        <v>May</v>
      </c>
    </row>
    <row r="187" spans="1:11" x14ac:dyDescent="0.25">
      <c r="A187" t="s">
        <v>276</v>
      </c>
      <c r="B187" s="4">
        <v>46184</v>
      </c>
      <c r="C187" t="s">
        <v>27</v>
      </c>
      <c r="D187" t="s">
        <v>12</v>
      </c>
      <c r="E187" t="s">
        <v>13</v>
      </c>
      <c r="F187">
        <v>3</v>
      </c>
      <c r="G187">
        <v>20000</v>
      </c>
      <c r="H187">
        <v>60000</v>
      </c>
      <c r="I187">
        <v>44400</v>
      </c>
      <c r="J187">
        <v>15600</v>
      </c>
      <c r="K187" t="str">
        <f>TEXT(B187,"mmm")</f>
        <v>Jun</v>
      </c>
    </row>
    <row r="188" spans="1:11" x14ac:dyDescent="0.25">
      <c r="A188" t="s">
        <v>305</v>
      </c>
      <c r="B188" s="4">
        <v>46213</v>
      </c>
      <c r="C188" t="s">
        <v>15</v>
      </c>
      <c r="D188" t="s">
        <v>16</v>
      </c>
      <c r="E188" t="s">
        <v>13</v>
      </c>
      <c r="F188">
        <v>4</v>
      </c>
      <c r="G188">
        <v>15000</v>
      </c>
      <c r="H188">
        <v>60000</v>
      </c>
      <c r="I188">
        <v>42000</v>
      </c>
      <c r="J188">
        <v>18000</v>
      </c>
      <c r="K188" t="str">
        <f>TEXT(B188,"mmm")</f>
        <v>Jul</v>
      </c>
    </row>
    <row r="189" spans="1:11" x14ac:dyDescent="0.25">
      <c r="A189" t="s">
        <v>340</v>
      </c>
      <c r="B189" s="4">
        <v>46248</v>
      </c>
      <c r="C189" t="s">
        <v>27</v>
      </c>
      <c r="D189" t="s">
        <v>36</v>
      </c>
      <c r="E189" t="s">
        <v>21</v>
      </c>
      <c r="F189">
        <v>6</v>
      </c>
      <c r="G189">
        <v>10000</v>
      </c>
      <c r="H189">
        <v>60000</v>
      </c>
      <c r="I189">
        <v>39000</v>
      </c>
      <c r="J189">
        <v>21000</v>
      </c>
      <c r="K189" t="str">
        <f>TEXT(B189,"mmm")</f>
        <v>Aug</v>
      </c>
    </row>
    <row r="190" spans="1:11" x14ac:dyDescent="0.25">
      <c r="A190" t="s">
        <v>372</v>
      </c>
      <c r="B190" s="4">
        <v>46280</v>
      </c>
      <c r="C190" t="s">
        <v>27</v>
      </c>
      <c r="D190" t="s">
        <v>12</v>
      </c>
      <c r="E190" t="s">
        <v>13</v>
      </c>
      <c r="F190">
        <v>3</v>
      </c>
      <c r="G190">
        <v>20000</v>
      </c>
      <c r="H190">
        <v>60000</v>
      </c>
      <c r="I190">
        <v>45600</v>
      </c>
      <c r="J190">
        <v>14400</v>
      </c>
      <c r="K190" t="str">
        <f>TEXT(B190,"mmm")</f>
        <v>Sep</v>
      </c>
    </row>
    <row r="191" spans="1:11" x14ac:dyDescent="0.25">
      <c r="A191" t="s">
        <v>382</v>
      </c>
      <c r="B191" s="4">
        <v>46290</v>
      </c>
      <c r="C191" t="s">
        <v>19</v>
      </c>
      <c r="D191" t="s">
        <v>36</v>
      </c>
      <c r="E191" t="s">
        <v>21</v>
      </c>
      <c r="F191">
        <v>6</v>
      </c>
      <c r="G191">
        <v>10000</v>
      </c>
      <c r="H191">
        <v>60000</v>
      </c>
      <c r="I191">
        <v>48000</v>
      </c>
      <c r="J191">
        <v>12000</v>
      </c>
      <c r="K191" t="str">
        <f>TEXT(B191,"mmm")</f>
        <v>Sep</v>
      </c>
    </row>
    <row r="192" spans="1:11" x14ac:dyDescent="0.25">
      <c r="A192" t="s">
        <v>389</v>
      </c>
      <c r="B192" s="4">
        <v>46297</v>
      </c>
      <c r="C192" t="s">
        <v>27</v>
      </c>
      <c r="D192" t="s">
        <v>12</v>
      </c>
      <c r="E192" t="s">
        <v>13</v>
      </c>
      <c r="F192">
        <v>3</v>
      </c>
      <c r="G192">
        <v>20000</v>
      </c>
      <c r="H192">
        <v>60000</v>
      </c>
      <c r="I192">
        <v>42000</v>
      </c>
      <c r="J192">
        <v>18000</v>
      </c>
      <c r="K192" t="str">
        <f>TEXT(B192,"mmm")</f>
        <v>Oct</v>
      </c>
    </row>
    <row r="193" spans="1:11" x14ac:dyDescent="0.25">
      <c r="A193" t="s">
        <v>407</v>
      </c>
      <c r="B193" s="4">
        <v>46315</v>
      </c>
      <c r="C193" t="s">
        <v>27</v>
      </c>
      <c r="D193" t="s">
        <v>12</v>
      </c>
      <c r="E193" t="s">
        <v>13</v>
      </c>
      <c r="F193">
        <v>3</v>
      </c>
      <c r="G193">
        <v>20000</v>
      </c>
      <c r="H193">
        <v>60000</v>
      </c>
      <c r="I193">
        <v>49200</v>
      </c>
      <c r="J193">
        <v>10800</v>
      </c>
      <c r="K193" t="str">
        <f>TEXT(B193,"mmm")</f>
        <v>Oct</v>
      </c>
    </row>
    <row r="194" spans="1:11" x14ac:dyDescent="0.25">
      <c r="A194" t="s">
        <v>414</v>
      </c>
      <c r="B194" s="4">
        <v>46322</v>
      </c>
      <c r="C194" t="s">
        <v>27</v>
      </c>
      <c r="D194" t="s">
        <v>36</v>
      </c>
      <c r="E194" t="s">
        <v>21</v>
      </c>
      <c r="F194">
        <v>6</v>
      </c>
      <c r="G194">
        <v>10000</v>
      </c>
      <c r="H194">
        <v>60000</v>
      </c>
      <c r="I194">
        <v>43200</v>
      </c>
      <c r="J194">
        <v>16800</v>
      </c>
      <c r="K194" t="str">
        <f>TEXT(B194,"mmm")</f>
        <v>Oct</v>
      </c>
    </row>
    <row r="195" spans="1:11" x14ac:dyDescent="0.25">
      <c r="A195" t="s">
        <v>494</v>
      </c>
      <c r="B195" s="4">
        <v>46402</v>
      </c>
      <c r="C195" t="s">
        <v>11</v>
      </c>
      <c r="D195" t="s">
        <v>16</v>
      </c>
      <c r="E195" t="s">
        <v>13</v>
      </c>
      <c r="F195">
        <v>4</v>
      </c>
      <c r="G195">
        <v>15000</v>
      </c>
      <c r="H195">
        <v>60000</v>
      </c>
      <c r="I195">
        <v>50400</v>
      </c>
      <c r="J195">
        <v>9600</v>
      </c>
      <c r="K195" t="str">
        <f>TEXT(B195,"mmm")</f>
        <v>Jan</v>
      </c>
    </row>
    <row r="196" spans="1:11" x14ac:dyDescent="0.25">
      <c r="A196" t="s">
        <v>524</v>
      </c>
      <c r="B196" s="4">
        <v>46432</v>
      </c>
      <c r="C196" t="s">
        <v>27</v>
      </c>
      <c r="D196" t="s">
        <v>12</v>
      </c>
      <c r="E196" t="s">
        <v>13</v>
      </c>
      <c r="F196">
        <v>3</v>
      </c>
      <c r="G196">
        <v>20000</v>
      </c>
      <c r="H196">
        <v>60000</v>
      </c>
      <c r="I196">
        <v>46800</v>
      </c>
      <c r="J196">
        <v>13200</v>
      </c>
      <c r="K196" t="str">
        <f>TEXT(B196,"mmm")</f>
        <v>Feb</v>
      </c>
    </row>
    <row r="197" spans="1:11" x14ac:dyDescent="0.25">
      <c r="A197" t="s">
        <v>310</v>
      </c>
      <c r="B197" s="4">
        <v>46218</v>
      </c>
      <c r="C197" t="s">
        <v>11</v>
      </c>
      <c r="D197" t="s">
        <v>49</v>
      </c>
      <c r="E197" t="s">
        <v>24</v>
      </c>
      <c r="F197">
        <v>7</v>
      </c>
      <c r="G197">
        <v>8000</v>
      </c>
      <c r="H197">
        <v>56000</v>
      </c>
      <c r="I197">
        <v>46480</v>
      </c>
      <c r="J197">
        <v>9520</v>
      </c>
      <c r="K197" t="str">
        <f>TEXT(B197,"mmm")</f>
        <v>Jul</v>
      </c>
    </row>
    <row r="198" spans="1:11" x14ac:dyDescent="0.25">
      <c r="A198" t="s">
        <v>334</v>
      </c>
      <c r="B198" s="4">
        <v>46242</v>
      </c>
      <c r="C198" t="s">
        <v>11</v>
      </c>
      <c r="D198" t="s">
        <v>49</v>
      </c>
      <c r="E198" t="s">
        <v>24</v>
      </c>
      <c r="F198">
        <v>7</v>
      </c>
      <c r="G198">
        <v>8000</v>
      </c>
      <c r="H198">
        <v>56000</v>
      </c>
      <c r="I198">
        <v>36400</v>
      </c>
      <c r="J198">
        <v>19600</v>
      </c>
      <c r="K198" t="str">
        <f>TEXT(B198,"mmm")</f>
        <v>Aug</v>
      </c>
    </row>
    <row r="199" spans="1:11" x14ac:dyDescent="0.25">
      <c r="A199" t="s">
        <v>339</v>
      </c>
      <c r="B199" s="4">
        <v>46247</v>
      </c>
      <c r="C199" t="s">
        <v>27</v>
      </c>
      <c r="D199" t="s">
        <v>49</v>
      </c>
      <c r="E199" t="s">
        <v>24</v>
      </c>
      <c r="F199">
        <v>7</v>
      </c>
      <c r="G199">
        <v>8000</v>
      </c>
      <c r="H199">
        <v>56000</v>
      </c>
      <c r="I199">
        <v>45360</v>
      </c>
      <c r="J199">
        <v>10640</v>
      </c>
      <c r="K199" t="str">
        <f>TEXT(B199,"mmm")</f>
        <v>Aug</v>
      </c>
    </row>
    <row r="200" spans="1:11" x14ac:dyDescent="0.25">
      <c r="A200" t="s">
        <v>398</v>
      </c>
      <c r="B200" s="4">
        <v>46306</v>
      </c>
      <c r="C200" t="s">
        <v>19</v>
      </c>
      <c r="D200" t="s">
        <v>49</v>
      </c>
      <c r="E200" t="s">
        <v>24</v>
      </c>
      <c r="F200">
        <v>7</v>
      </c>
      <c r="G200">
        <v>8000</v>
      </c>
      <c r="H200">
        <v>56000</v>
      </c>
      <c r="I200">
        <v>40880</v>
      </c>
      <c r="J200">
        <v>15120</v>
      </c>
      <c r="K200" t="str">
        <f>TEXT(B200,"mmm")</f>
        <v>Oct</v>
      </c>
    </row>
    <row r="201" spans="1:11" x14ac:dyDescent="0.25">
      <c r="A201" t="s">
        <v>443</v>
      </c>
      <c r="B201" s="4">
        <v>46351</v>
      </c>
      <c r="C201" t="s">
        <v>15</v>
      </c>
      <c r="D201" t="s">
        <v>49</v>
      </c>
      <c r="E201" t="s">
        <v>24</v>
      </c>
      <c r="F201">
        <v>7</v>
      </c>
      <c r="G201">
        <v>8000</v>
      </c>
      <c r="H201">
        <v>56000</v>
      </c>
      <c r="I201">
        <v>39760</v>
      </c>
      <c r="J201">
        <v>16240</v>
      </c>
      <c r="K201" t="str">
        <f>TEXT(B201,"mmm")</f>
        <v>Nov</v>
      </c>
    </row>
    <row r="202" spans="1:11" x14ac:dyDescent="0.25">
      <c r="A202" t="s">
        <v>452</v>
      </c>
      <c r="B202" s="4">
        <v>46360</v>
      </c>
      <c r="C202" t="s">
        <v>27</v>
      </c>
      <c r="D202" t="s">
        <v>49</v>
      </c>
      <c r="E202" t="s">
        <v>24</v>
      </c>
      <c r="F202">
        <v>7</v>
      </c>
      <c r="G202">
        <v>8000</v>
      </c>
      <c r="H202">
        <v>56000</v>
      </c>
      <c r="I202">
        <v>46480</v>
      </c>
      <c r="J202">
        <v>9520</v>
      </c>
      <c r="K202" t="str">
        <f>TEXT(B202,"mmm")</f>
        <v>Dec</v>
      </c>
    </row>
    <row r="203" spans="1:11" x14ac:dyDescent="0.25">
      <c r="A203" t="s">
        <v>501</v>
      </c>
      <c r="B203" s="4">
        <v>46409</v>
      </c>
      <c r="C203" t="s">
        <v>27</v>
      </c>
      <c r="D203" t="s">
        <v>49</v>
      </c>
      <c r="E203" t="s">
        <v>24</v>
      </c>
      <c r="F203">
        <v>7</v>
      </c>
      <c r="G203">
        <v>8000</v>
      </c>
      <c r="H203">
        <v>56000</v>
      </c>
      <c r="I203">
        <v>45360</v>
      </c>
      <c r="J203">
        <v>10640</v>
      </c>
      <c r="K203" t="str">
        <f>TEXT(B203,"mmm")</f>
        <v>Jan</v>
      </c>
    </row>
    <row r="204" spans="1:11" x14ac:dyDescent="0.25">
      <c r="A204" t="s">
        <v>39</v>
      </c>
      <c r="B204" s="4">
        <v>45948</v>
      </c>
      <c r="C204" t="s">
        <v>11</v>
      </c>
      <c r="D204" t="s">
        <v>36</v>
      </c>
      <c r="E204" t="s">
        <v>21</v>
      </c>
      <c r="F204">
        <v>5</v>
      </c>
      <c r="G204">
        <v>10000</v>
      </c>
      <c r="H204">
        <v>50000</v>
      </c>
      <c r="I204">
        <v>42500</v>
      </c>
      <c r="J204">
        <v>7500</v>
      </c>
      <c r="K204" t="str">
        <f>TEXT(B204,"mmm")</f>
        <v>Oct</v>
      </c>
    </row>
    <row r="205" spans="1:11" x14ac:dyDescent="0.25">
      <c r="A205" t="s">
        <v>91</v>
      </c>
      <c r="B205" s="4">
        <v>45999</v>
      </c>
      <c r="C205" t="s">
        <v>27</v>
      </c>
      <c r="D205" t="s">
        <v>36</v>
      </c>
      <c r="E205" t="s">
        <v>21</v>
      </c>
      <c r="F205">
        <v>5</v>
      </c>
      <c r="G205">
        <v>10000</v>
      </c>
      <c r="H205">
        <v>50000</v>
      </c>
      <c r="I205">
        <v>38500</v>
      </c>
      <c r="J205">
        <v>11500</v>
      </c>
      <c r="K205" t="str">
        <f>TEXT(B205,"mmm")</f>
        <v>Dec</v>
      </c>
    </row>
    <row r="206" spans="1:11" x14ac:dyDescent="0.25">
      <c r="A206" t="s">
        <v>103</v>
      </c>
      <c r="B206" s="4">
        <v>46011</v>
      </c>
      <c r="C206" t="s">
        <v>19</v>
      </c>
      <c r="D206" t="s">
        <v>20</v>
      </c>
      <c r="E206" t="s">
        <v>21</v>
      </c>
      <c r="F206">
        <v>10</v>
      </c>
      <c r="G206">
        <v>5000</v>
      </c>
      <c r="H206">
        <v>50000</v>
      </c>
      <c r="I206">
        <v>37500</v>
      </c>
      <c r="J206">
        <v>12500</v>
      </c>
      <c r="K206" t="str">
        <f>TEXT(B206,"mmm")</f>
        <v>Dec</v>
      </c>
    </row>
    <row r="207" spans="1:11" x14ac:dyDescent="0.25">
      <c r="A207" t="s">
        <v>111</v>
      </c>
      <c r="B207" s="4">
        <v>46019</v>
      </c>
      <c r="C207" t="s">
        <v>19</v>
      </c>
      <c r="D207" t="s">
        <v>36</v>
      </c>
      <c r="E207" t="s">
        <v>21</v>
      </c>
      <c r="F207">
        <v>5</v>
      </c>
      <c r="G207">
        <v>10000</v>
      </c>
      <c r="H207">
        <v>50000</v>
      </c>
      <c r="I207">
        <v>35500</v>
      </c>
      <c r="J207">
        <v>14500</v>
      </c>
      <c r="K207" t="str">
        <f>TEXT(B207,"mmm")</f>
        <v>Dec</v>
      </c>
    </row>
    <row r="208" spans="1:11" x14ac:dyDescent="0.25">
      <c r="A208" t="s">
        <v>124</v>
      </c>
      <c r="B208" s="4">
        <v>46032</v>
      </c>
      <c r="C208" t="s">
        <v>11</v>
      </c>
      <c r="D208" t="s">
        <v>36</v>
      </c>
      <c r="E208" t="s">
        <v>21</v>
      </c>
      <c r="F208">
        <v>5</v>
      </c>
      <c r="G208">
        <v>10000</v>
      </c>
      <c r="H208">
        <v>50000</v>
      </c>
      <c r="I208">
        <v>39500</v>
      </c>
      <c r="J208">
        <v>10500</v>
      </c>
      <c r="K208" t="str">
        <f>TEXT(B208,"mmm")</f>
        <v>Jan</v>
      </c>
    </row>
    <row r="209" spans="1:11" x14ac:dyDescent="0.25">
      <c r="A209" t="s">
        <v>135</v>
      </c>
      <c r="B209" s="4">
        <v>46043</v>
      </c>
      <c r="C209" t="s">
        <v>27</v>
      </c>
      <c r="D209" t="s">
        <v>30</v>
      </c>
      <c r="E209" t="s">
        <v>13</v>
      </c>
      <c r="F209">
        <v>1</v>
      </c>
      <c r="G209">
        <v>50000</v>
      </c>
      <c r="H209">
        <v>50000</v>
      </c>
      <c r="I209">
        <v>33500</v>
      </c>
      <c r="J209">
        <v>16500</v>
      </c>
      <c r="K209" t="str">
        <f>TEXT(B209,"mmm")</f>
        <v>Jan</v>
      </c>
    </row>
    <row r="210" spans="1:11" x14ac:dyDescent="0.25">
      <c r="A210" t="s">
        <v>160</v>
      </c>
      <c r="B210" s="4">
        <v>46068</v>
      </c>
      <c r="C210" t="s">
        <v>15</v>
      </c>
      <c r="D210" t="s">
        <v>20</v>
      </c>
      <c r="E210" t="s">
        <v>21</v>
      </c>
      <c r="F210">
        <v>10</v>
      </c>
      <c r="G210">
        <v>5000</v>
      </c>
      <c r="H210">
        <v>50000</v>
      </c>
      <c r="I210">
        <v>41500</v>
      </c>
      <c r="J210">
        <v>8500</v>
      </c>
      <c r="K210" t="str">
        <f>TEXT(B210,"mmm")</f>
        <v>Feb</v>
      </c>
    </row>
    <row r="211" spans="1:11" x14ac:dyDescent="0.25">
      <c r="A211" t="s">
        <v>233</v>
      </c>
      <c r="B211" s="4">
        <v>46141</v>
      </c>
      <c r="C211" t="s">
        <v>19</v>
      </c>
      <c r="D211" t="s">
        <v>20</v>
      </c>
      <c r="E211" t="s">
        <v>21</v>
      </c>
      <c r="F211">
        <v>10</v>
      </c>
      <c r="G211">
        <v>5000</v>
      </c>
      <c r="H211">
        <v>50000</v>
      </c>
      <c r="I211">
        <v>42500</v>
      </c>
      <c r="J211">
        <v>7500</v>
      </c>
      <c r="K211" t="str">
        <f>TEXT(B211,"mmm")</f>
        <v>Apr</v>
      </c>
    </row>
    <row r="212" spans="1:11" x14ac:dyDescent="0.25">
      <c r="A212" t="s">
        <v>275</v>
      </c>
      <c r="B212" s="4">
        <v>46183</v>
      </c>
      <c r="C212" t="s">
        <v>19</v>
      </c>
      <c r="D212" t="s">
        <v>30</v>
      </c>
      <c r="E212" t="s">
        <v>13</v>
      </c>
      <c r="F212">
        <v>1</v>
      </c>
      <c r="G212">
        <v>50000</v>
      </c>
      <c r="H212">
        <v>50000</v>
      </c>
      <c r="I212">
        <v>35000</v>
      </c>
      <c r="J212">
        <v>15000</v>
      </c>
      <c r="K212" t="str">
        <f>TEXT(B212,"mmm")</f>
        <v>Jun</v>
      </c>
    </row>
    <row r="213" spans="1:11" x14ac:dyDescent="0.25">
      <c r="A213" t="s">
        <v>286</v>
      </c>
      <c r="B213" s="4">
        <v>46194</v>
      </c>
      <c r="C213" t="s">
        <v>15</v>
      </c>
      <c r="D213" t="s">
        <v>36</v>
      </c>
      <c r="E213" t="s">
        <v>21</v>
      </c>
      <c r="F213">
        <v>5</v>
      </c>
      <c r="G213">
        <v>10000</v>
      </c>
      <c r="H213">
        <v>50000</v>
      </c>
      <c r="I213">
        <v>37000</v>
      </c>
      <c r="J213">
        <v>13000</v>
      </c>
      <c r="K213" t="str">
        <f>TEXT(B213,"mmm")</f>
        <v>Jun</v>
      </c>
    </row>
    <row r="214" spans="1:11" x14ac:dyDescent="0.25">
      <c r="A214" t="s">
        <v>301</v>
      </c>
      <c r="B214" s="4">
        <v>46209</v>
      </c>
      <c r="C214" t="s">
        <v>27</v>
      </c>
      <c r="D214" t="s">
        <v>36</v>
      </c>
      <c r="E214" t="s">
        <v>21</v>
      </c>
      <c r="F214">
        <v>5</v>
      </c>
      <c r="G214">
        <v>10000</v>
      </c>
      <c r="H214">
        <v>50000</v>
      </c>
      <c r="I214">
        <v>41000</v>
      </c>
      <c r="J214">
        <v>9000</v>
      </c>
      <c r="K214" t="str">
        <f>TEXT(B214,"mmm")</f>
        <v>Jul</v>
      </c>
    </row>
    <row r="215" spans="1:11" x14ac:dyDescent="0.25">
      <c r="A215" t="s">
        <v>311</v>
      </c>
      <c r="B215" s="4">
        <v>46219</v>
      </c>
      <c r="C215" t="s">
        <v>11</v>
      </c>
      <c r="D215" t="s">
        <v>20</v>
      </c>
      <c r="E215" t="s">
        <v>21</v>
      </c>
      <c r="F215">
        <v>10</v>
      </c>
      <c r="G215">
        <v>5000</v>
      </c>
      <c r="H215">
        <v>50000</v>
      </c>
      <c r="I215">
        <v>36500</v>
      </c>
      <c r="J215">
        <v>13500</v>
      </c>
      <c r="K215" t="str">
        <f>TEXT(B215,"mmm")</f>
        <v>Jul</v>
      </c>
    </row>
    <row r="216" spans="1:11" x14ac:dyDescent="0.25">
      <c r="A216" t="s">
        <v>315</v>
      </c>
      <c r="B216" s="4">
        <v>46223</v>
      </c>
      <c r="C216" t="s">
        <v>11</v>
      </c>
      <c r="D216" t="s">
        <v>20</v>
      </c>
      <c r="E216" t="s">
        <v>21</v>
      </c>
      <c r="F216">
        <v>10</v>
      </c>
      <c r="G216">
        <v>5000</v>
      </c>
      <c r="H216">
        <v>50000</v>
      </c>
      <c r="I216">
        <v>36000</v>
      </c>
      <c r="J216">
        <v>14000</v>
      </c>
      <c r="K216" t="str">
        <f>TEXT(B216,"mmm")</f>
        <v>Jul</v>
      </c>
    </row>
    <row r="217" spans="1:11" x14ac:dyDescent="0.25">
      <c r="A217" t="s">
        <v>317</v>
      </c>
      <c r="B217" s="4">
        <v>46225</v>
      </c>
      <c r="C217" t="s">
        <v>27</v>
      </c>
      <c r="D217" t="s">
        <v>30</v>
      </c>
      <c r="E217" t="s">
        <v>13</v>
      </c>
      <c r="F217">
        <v>1</v>
      </c>
      <c r="G217">
        <v>50000</v>
      </c>
      <c r="H217">
        <v>50000</v>
      </c>
      <c r="I217">
        <v>36500</v>
      </c>
      <c r="J217">
        <v>13500</v>
      </c>
      <c r="K217" t="str">
        <f>TEXT(B217,"mmm")</f>
        <v>Jul</v>
      </c>
    </row>
    <row r="218" spans="1:11" x14ac:dyDescent="0.25">
      <c r="A218" t="s">
        <v>323</v>
      </c>
      <c r="B218" s="4">
        <v>46231</v>
      </c>
      <c r="C218" t="s">
        <v>11</v>
      </c>
      <c r="D218" t="s">
        <v>36</v>
      </c>
      <c r="E218" t="s">
        <v>21</v>
      </c>
      <c r="F218">
        <v>5</v>
      </c>
      <c r="G218">
        <v>10000</v>
      </c>
      <c r="H218">
        <v>50000</v>
      </c>
      <c r="I218">
        <v>37500</v>
      </c>
      <c r="J218">
        <v>12500</v>
      </c>
      <c r="K218" t="str">
        <f>TEXT(B218,"mmm")</f>
        <v>Jul</v>
      </c>
    </row>
    <row r="219" spans="1:11" x14ac:dyDescent="0.25">
      <c r="A219" t="s">
        <v>377</v>
      </c>
      <c r="B219" s="4">
        <v>46285</v>
      </c>
      <c r="C219" t="s">
        <v>15</v>
      </c>
      <c r="D219" t="s">
        <v>36</v>
      </c>
      <c r="E219" t="s">
        <v>21</v>
      </c>
      <c r="F219">
        <v>5</v>
      </c>
      <c r="G219">
        <v>10000</v>
      </c>
      <c r="H219">
        <v>50000</v>
      </c>
      <c r="I219">
        <v>40500</v>
      </c>
      <c r="J219">
        <v>9500</v>
      </c>
      <c r="K219" t="str">
        <f>TEXT(B219,"mmm")</f>
        <v>Sep</v>
      </c>
    </row>
    <row r="220" spans="1:11" x14ac:dyDescent="0.25">
      <c r="A220" t="s">
        <v>392</v>
      </c>
      <c r="B220" s="4">
        <v>46300</v>
      </c>
      <c r="C220" t="s">
        <v>19</v>
      </c>
      <c r="D220" t="s">
        <v>30</v>
      </c>
      <c r="E220" t="s">
        <v>13</v>
      </c>
      <c r="F220">
        <v>1</v>
      </c>
      <c r="G220">
        <v>50000</v>
      </c>
      <c r="H220">
        <v>50000</v>
      </c>
      <c r="I220">
        <v>36500</v>
      </c>
      <c r="J220">
        <v>13500</v>
      </c>
      <c r="K220" t="str">
        <f>TEXT(B220,"mmm")</f>
        <v>Oct</v>
      </c>
    </row>
    <row r="221" spans="1:11" x14ac:dyDescent="0.25">
      <c r="A221" t="s">
        <v>435</v>
      </c>
      <c r="B221" s="4">
        <v>46343</v>
      </c>
      <c r="C221" t="s">
        <v>19</v>
      </c>
      <c r="D221" t="s">
        <v>30</v>
      </c>
      <c r="E221" t="s">
        <v>13</v>
      </c>
      <c r="F221">
        <v>1</v>
      </c>
      <c r="G221">
        <v>50000</v>
      </c>
      <c r="H221">
        <v>50000</v>
      </c>
      <c r="I221">
        <v>37500</v>
      </c>
      <c r="J221">
        <v>12500</v>
      </c>
      <c r="K221" t="str">
        <f>TEXT(B221,"mmm")</f>
        <v>Nov</v>
      </c>
    </row>
    <row r="222" spans="1:11" x14ac:dyDescent="0.25">
      <c r="A222" t="s">
        <v>472</v>
      </c>
      <c r="B222" s="4">
        <v>46380</v>
      </c>
      <c r="C222" t="s">
        <v>15</v>
      </c>
      <c r="D222" t="s">
        <v>36</v>
      </c>
      <c r="E222" t="s">
        <v>21</v>
      </c>
      <c r="F222">
        <v>5</v>
      </c>
      <c r="G222">
        <v>10000</v>
      </c>
      <c r="H222">
        <v>50000</v>
      </c>
      <c r="I222">
        <v>40500</v>
      </c>
      <c r="J222">
        <v>9500</v>
      </c>
      <c r="K222" t="str">
        <f>TEXT(B222,"mmm")</f>
        <v>Dec</v>
      </c>
    </row>
    <row r="223" spans="1:11" x14ac:dyDescent="0.25">
      <c r="A223" t="s">
        <v>497</v>
      </c>
      <c r="B223" s="4">
        <v>46405</v>
      </c>
      <c r="C223" t="s">
        <v>11</v>
      </c>
      <c r="D223" t="s">
        <v>30</v>
      </c>
      <c r="E223" t="s">
        <v>13</v>
      </c>
      <c r="F223">
        <v>1</v>
      </c>
      <c r="G223">
        <v>50000</v>
      </c>
      <c r="H223">
        <v>50000</v>
      </c>
      <c r="I223">
        <v>41500</v>
      </c>
      <c r="J223">
        <v>8500</v>
      </c>
      <c r="K223" t="str">
        <f>TEXT(B223,"mmm")</f>
        <v>Jan</v>
      </c>
    </row>
    <row r="224" spans="1:11" x14ac:dyDescent="0.25">
      <c r="A224" t="s">
        <v>256</v>
      </c>
      <c r="B224" s="4">
        <v>46164</v>
      </c>
      <c r="C224" t="s">
        <v>15</v>
      </c>
      <c r="D224" t="s">
        <v>49</v>
      </c>
      <c r="E224" t="s">
        <v>24</v>
      </c>
      <c r="F224">
        <v>6</v>
      </c>
      <c r="G224">
        <v>8000</v>
      </c>
      <c r="H224">
        <v>48000</v>
      </c>
      <c r="I224">
        <v>37920</v>
      </c>
      <c r="J224">
        <v>10080</v>
      </c>
      <c r="K224" t="str">
        <f>TEXT(B224,"mmm")</f>
        <v>May</v>
      </c>
    </row>
    <row r="225" spans="1:11" x14ac:dyDescent="0.25">
      <c r="A225" t="s">
        <v>264</v>
      </c>
      <c r="B225" s="4">
        <v>46172</v>
      </c>
      <c r="C225" t="s">
        <v>19</v>
      </c>
      <c r="D225" t="s">
        <v>49</v>
      </c>
      <c r="E225" t="s">
        <v>24</v>
      </c>
      <c r="F225">
        <v>6</v>
      </c>
      <c r="G225">
        <v>8000</v>
      </c>
      <c r="H225">
        <v>48000</v>
      </c>
      <c r="I225">
        <v>36480</v>
      </c>
      <c r="J225">
        <v>11520</v>
      </c>
      <c r="K225" t="str">
        <f>TEXT(B225,"mmm")</f>
        <v>May</v>
      </c>
    </row>
    <row r="226" spans="1:11" x14ac:dyDescent="0.25">
      <c r="A226" t="s">
        <v>469</v>
      </c>
      <c r="B226" s="4">
        <v>46377</v>
      </c>
      <c r="C226" t="s">
        <v>19</v>
      </c>
      <c r="D226" t="s">
        <v>49</v>
      </c>
      <c r="E226" t="s">
        <v>24</v>
      </c>
      <c r="F226">
        <v>6</v>
      </c>
      <c r="G226">
        <v>8000</v>
      </c>
      <c r="H226">
        <v>48000</v>
      </c>
      <c r="I226">
        <v>36960</v>
      </c>
      <c r="J226">
        <v>11040</v>
      </c>
      <c r="K226" t="str">
        <f>TEXT(B226,"mmm")</f>
        <v>Dec</v>
      </c>
    </row>
    <row r="227" spans="1:11" x14ac:dyDescent="0.25">
      <c r="A227" t="s">
        <v>479</v>
      </c>
      <c r="B227" s="4">
        <v>46387</v>
      </c>
      <c r="C227" t="s">
        <v>15</v>
      </c>
      <c r="D227" t="s">
        <v>49</v>
      </c>
      <c r="E227" t="s">
        <v>24</v>
      </c>
      <c r="F227">
        <v>6</v>
      </c>
      <c r="G227">
        <v>8000</v>
      </c>
      <c r="H227">
        <v>48000</v>
      </c>
      <c r="I227">
        <v>36480</v>
      </c>
      <c r="J227">
        <v>11520</v>
      </c>
      <c r="K227" t="str">
        <f>TEXT(B227,"mmm")</f>
        <v>Dec</v>
      </c>
    </row>
    <row r="228" spans="1:11" x14ac:dyDescent="0.25">
      <c r="A228" t="s">
        <v>28</v>
      </c>
      <c r="B228" s="4">
        <v>45940</v>
      </c>
      <c r="C228" t="s">
        <v>19</v>
      </c>
      <c r="D228" t="s">
        <v>16</v>
      </c>
      <c r="E228" t="s">
        <v>13</v>
      </c>
      <c r="F228">
        <v>3</v>
      </c>
      <c r="G228">
        <v>15000</v>
      </c>
      <c r="H228">
        <v>45000</v>
      </c>
      <c r="I228">
        <v>31500</v>
      </c>
      <c r="J228">
        <v>13500</v>
      </c>
      <c r="K228" t="str">
        <f>TEXT(B228,"mmm")</f>
        <v>Oct</v>
      </c>
    </row>
    <row r="229" spans="1:11" x14ac:dyDescent="0.25">
      <c r="A229" t="s">
        <v>78</v>
      </c>
      <c r="B229" s="4">
        <v>45986</v>
      </c>
      <c r="C229" t="s">
        <v>27</v>
      </c>
      <c r="D229" t="s">
        <v>16</v>
      </c>
      <c r="E229" t="s">
        <v>13</v>
      </c>
      <c r="F229">
        <v>3</v>
      </c>
      <c r="G229">
        <v>15000</v>
      </c>
      <c r="H229">
        <v>45000</v>
      </c>
      <c r="I229">
        <v>34200</v>
      </c>
      <c r="J229">
        <v>10800</v>
      </c>
      <c r="K229" t="str">
        <f>TEXT(B229,"mmm")</f>
        <v>Nov</v>
      </c>
    </row>
    <row r="230" spans="1:11" x14ac:dyDescent="0.25">
      <c r="A230" t="s">
        <v>122</v>
      </c>
      <c r="B230" s="4">
        <v>46030</v>
      </c>
      <c r="C230" t="s">
        <v>15</v>
      </c>
      <c r="D230" t="s">
        <v>20</v>
      </c>
      <c r="E230" t="s">
        <v>21</v>
      </c>
      <c r="F230">
        <v>9</v>
      </c>
      <c r="G230">
        <v>5000</v>
      </c>
      <c r="H230">
        <v>45000</v>
      </c>
      <c r="I230">
        <v>32400</v>
      </c>
      <c r="J230">
        <v>12600</v>
      </c>
      <c r="K230" t="str">
        <f>TEXT(B230,"mmm")</f>
        <v>Jan</v>
      </c>
    </row>
    <row r="231" spans="1:11" x14ac:dyDescent="0.25">
      <c r="A231" t="s">
        <v>152</v>
      </c>
      <c r="B231" s="4">
        <v>46060</v>
      </c>
      <c r="C231" t="s">
        <v>19</v>
      </c>
      <c r="D231" t="s">
        <v>20</v>
      </c>
      <c r="E231" t="s">
        <v>21</v>
      </c>
      <c r="F231">
        <v>9</v>
      </c>
      <c r="G231">
        <v>5000</v>
      </c>
      <c r="H231">
        <v>45000</v>
      </c>
      <c r="I231">
        <v>37350</v>
      </c>
      <c r="J231">
        <v>7650</v>
      </c>
      <c r="K231" t="str">
        <f>TEXT(B231,"mmm")</f>
        <v>Feb</v>
      </c>
    </row>
    <row r="232" spans="1:11" x14ac:dyDescent="0.25">
      <c r="A232" t="s">
        <v>175</v>
      </c>
      <c r="B232" s="4">
        <v>46083</v>
      </c>
      <c r="C232" t="s">
        <v>11</v>
      </c>
      <c r="D232" t="s">
        <v>20</v>
      </c>
      <c r="E232" t="s">
        <v>21</v>
      </c>
      <c r="F232">
        <v>9</v>
      </c>
      <c r="G232">
        <v>5000</v>
      </c>
      <c r="H232">
        <v>45000</v>
      </c>
      <c r="I232">
        <v>30150</v>
      </c>
      <c r="J232">
        <v>14850</v>
      </c>
      <c r="K232" t="str">
        <f>TEXT(B232,"mmm")</f>
        <v>Mar</v>
      </c>
    </row>
    <row r="233" spans="1:11" x14ac:dyDescent="0.25">
      <c r="A233" t="s">
        <v>211</v>
      </c>
      <c r="B233" s="4">
        <v>46119</v>
      </c>
      <c r="C233" t="s">
        <v>19</v>
      </c>
      <c r="D233" t="s">
        <v>16</v>
      </c>
      <c r="E233" t="s">
        <v>13</v>
      </c>
      <c r="F233">
        <v>3</v>
      </c>
      <c r="G233">
        <v>15000</v>
      </c>
      <c r="H233">
        <v>45000</v>
      </c>
      <c r="I233">
        <v>38250</v>
      </c>
      <c r="J233">
        <v>6750</v>
      </c>
      <c r="K233" t="str">
        <f>TEXT(B233,"mmm")</f>
        <v>Apr</v>
      </c>
    </row>
    <row r="234" spans="1:11" x14ac:dyDescent="0.25">
      <c r="A234" t="s">
        <v>215</v>
      </c>
      <c r="B234" s="4">
        <v>46123</v>
      </c>
      <c r="C234" t="s">
        <v>11</v>
      </c>
      <c r="D234" t="s">
        <v>20</v>
      </c>
      <c r="E234" t="s">
        <v>21</v>
      </c>
      <c r="F234">
        <v>9</v>
      </c>
      <c r="G234">
        <v>5000</v>
      </c>
      <c r="H234">
        <v>45000</v>
      </c>
      <c r="I234">
        <v>34650</v>
      </c>
      <c r="J234">
        <v>10350</v>
      </c>
      <c r="K234" t="str">
        <f>TEXT(B234,"mmm")</f>
        <v>Apr</v>
      </c>
    </row>
    <row r="235" spans="1:11" x14ac:dyDescent="0.25">
      <c r="A235" t="s">
        <v>314</v>
      </c>
      <c r="B235" s="4">
        <v>46222</v>
      </c>
      <c r="C235" t="s">
        <v>15</v>
      </c>
      <c r="D235" t="s">
        <v>20</v>
      </c>
      <c r="E235" t="s">
        <v>21</v>
      </c>
      <c r="F235">
        <v>9</v>
      </c>
      <c r="G235">
        <v>5000</v>
      </c>
      <c r="H235">
        <v>45000</v>
      </c>
      <c r="I235">
        <v>35550</v>
      </c>
      <c r="J235">
        <v>9450</v>
      </c>
      <c r="K235" t="str">
        <f>TEXT(B235,"mmm")</f>
        <v>Jul</v>
      </c>
    </row>
    <row r="236" spans="1:11" x14ac:dyDescent="0.25">
      <c r="A236" t="s">
        <v>365</v>
      </c>
      <c r="B236" s="4">
        <v>46273</v>
      </c>
      <c r="C236" t="s">
        <v>19</v>
      </c>
      <c r="D236" t="s">
        <v>20</v>
      </c>
      <c r="E236" t="s">
        <v>21</v>
      </c>
      <c r="F236">
        <v>9</v>
      </c>
      <c r="G236">
        <v>5000</v>
      </c>
      <c r="H236">
        <v>45000</v>
      </c>
      <c r="I236">
        <v>29700</v>
      </c>
      <c r="J236">
        <v>15300</v>
      </c>
      <c r="K236" t="str">
        <f>TEXT(B236,"mmm")</f>
        <v>Sep</v>
      </c>
    </row>
    <row r="237" spans="1:11" x14ac:dyDescent="0.25">
      <c r="A237" t="s">
        <v>385</v>
      </c>
      <c r="B237" s="4">
        <v>46293</v>
      </c>
      <c r="C237" t="s">
        <v>19</v>
      </c>
      <c r="D237" t="s">
        <v>16</v>
      </c>
      <c r="E237" t="s">
        <v>13</v>
      </c>
      <c r="F237">
        <v>3</v>
      </c>
      <c r="G237">
        <v>15000</v>
      </c>
      <c r="H237">
        <v>45000</v>
      </c>
      <c r="I237">
        <v>38250</v>
      </c>
      <c r="J237">
        <v>6750</v>
      </c>
      <c r="K237" t="str">
        <f>TEXT(B237,"mmm")</f>
        <v>Sep</v>
      </c>
    </row>
    <row r="238" spans="1:11" x14ac:dyDescent="0.25">
      <c r="A238" t="s">
        <v>400</v>
      </c>
      <c r="B238" s="4">
        <v>46308</v>
      </c>
      <c r="C238" t="s">
        <v>11</v>
      </c>
      <c r="D238" t="s">
        <v>20</v>
      </c>
      <c r="E238" t="s">
        <v>21</v>
      </c>
      <c r="F238">
        <v>9</v>
      </c>
      <c r="G238">
        <v>5000</v>
      </c>
      <c r="H238">
        <v>45000</v>
      </c>
      <c r="I238">
        <v>29700</v>
      </c>
      <c r="J238">
        <v>15300</v>
      </c>
      <c r="K238" t="str">
        <f>TEXT(B238,"mmm")</f>
        <v>Oct</v>
      </c>
    </row>
    <row r="239" spans="1:11" x14ac:dyDescent="0.25">
      <c r="A239" t="s">
        <v>403</v>
      </c>
      <c r="B239" s="4">
        <v>46311</v>
      </c>
      <c r="C239" t="s">
        <v>19</v>
      </c>
      <c r="D239" t="s">
        <v>20</v>
      </c>
      <c r="E239" t="s">
        <v>21</v>
      </c>
      <c r="F239">
        <v>9</v>
      </c>
      <c r="G239">
        <v>5000</v>
      </c>
      <c r="H239">
        <v>45000</v>
      </c>
      <c r="I239">
        <v>36450</v>
      </c>
      <c r="J239">
        <v>8550</v>
      </c>
      <c r="K239" t="str">
        <f>TEXT(B239,"mmm")</f>
        <v>Oct</v>
      </c>
    </row>
    <row r="240" spans="1:11" x14ac:dyDescent="0.25">
      <c r="A240" t="s">
        <v>404</v>
      </c>
      <c r="B240" s="4">
        <v>46312</v>
      </c>
      <c r="C240" t="s">
        <v>15</v>
      </c>
      <c r="D240" t="s">
        <v>16</v>
      </c>
      <c r="E240" t="s">
        <v>13</v>
      </c>
      <c r="F240">
        <v>3</v>
      </c>
      <c r="G240">
        <v>15000</v>
      </c>
      <c r="H240">
        <v>45000</v>
      </c>
      <c r="I240">
        <v>36900</v>
      </c>
      <c r="J240">
        <v>8100</v>
      </c>
      <c r="K240" t="str">
        <f>TEXT(B240,"mmm")</f>
        <v>Oct</v>
      </c>
    </row>
    <row r="241" spans="1:11" x14ac:dyDescent="0.25">
      <c r="A241" t="s">
        <v>425</v>
      </c>
      <c r="B241" s="4">
        <v>46333</v>
      </c>
      <c r="C241" t="s">
        <v>15</v>
      </c>
      <c r="D241" t="s">
        <v>20</v>
      </c>
      <c r="E241" t="s">
        <v>21</v>
      </c>
      <c r="F241">
        <v>9</v>
      </c>
      <c r="G241">
        <v>5000</v>
      </c>
      <c r="H241">
        <v>45000</v>
      </c>
      <c r="I241">
        <v>36450</v>
      </c>
      <c r="J241">
        <v>8550</v>
      </c>
      <c r="K241" t="str">
        <f>TEXT(B241,"mmm")</f>
        <v>Nov</v>
      </c>
    </row>
    <row r="242" spans="1:11" x14ac:dyDescent="0.25">
      <c r="A242" t="s">
        <v>431</v>
      </c>
      <c r="B242" s="4">
        <v>46339</v>
      </c>
      <c r="C242" t="s">
        <v>27</v>
      </c>
      <c r="D242" t="s">
        <v>20</v>
      </c>
      <c r="E242" t="s">
        <v>21</v>
      </c>
      <c r="F242">
        <v>9</v>
      </c>
      <c r="G242">
        <v>5000</v>
      </c>
      <c r="H242">
        <v>45000</v>
      </c>
      <c r="I242">
        <v>30150</v>
      </c>
      <c r="J242">
        <v>14850</v>
      </c>
      <c r="K242" t="str">
        <f>TEXT(B242,"mmm")</f>
        <v>Nov</v>
      </c>
    </row>
    <row r="243" spans="1:11" x14ac:dyDescent="0.25">
      <c r="A243" t="s">
        <v>470</v>
      </c>
      <c r="B243" s="4">
        <v>46378</v>
      </c>
      <c r="C243" t="s">
        <v>27</v>
      </c>
      <c r="D243" t="s">
        <v>16</v>
      </c>
      <c r="E243" t="s">
        <v>13</v>
      </c>
      <c r="F243">
        <v>3</v>
      </c>
      <c r="G243">
        <v>15000</v>
      </c>
      <c r="H243">
        <v>45000</v>
      </c>
      <c r="I243">
        <v>29700</v>
      </c>
      <c r="J243">
        <v>15300</v>
      </c>
      <c r="K243" t="str">
        <f>TEXT(B243,"mmm")</f>
        <v>Dec</v>
      </c>
    </row>
    <row r="244" spans="1:11" x14ac:dyDescent="0.25">
      <c r="A244" t="s">
        <v>481</v>
      </c>
      <c r="B244" s="4">
        <v>46389</v>
      </c>
      <c r="C244" t="s">
        <v>15</v>
      </c>
      <c r="D244" t="s">
        <v>16</v>
      </c>
      <c r="E244" t="s">
        <v>13</v>
      </c>
      <c r="F244">
        <v>3</v>
      </c>
      <c r="G244">
        <v>15000</v>
      </c>
      <c r="H244">
        <v>45000</v>
      </c>
      <c r="I244">
        <v>31950</v>
      </c>
      <c r="J244">
        <v>13050</v>
      </c>
      <c r="K244" t="str">
        <f>TEXT(B244,"mmm")</f>
        <v>Jan</v>
      </c>
    </row>
    <row r="245" spans="1:11" x14ac:dyDescent="0.25">
      <c r="A245" t="s">
        <v>17</v>
      </c>
      <c r="B245" s="4">
        <v>45935</v>
      </c>
      <c r="C245" t="s">
        <v>15</v>
      </c>
      <c r="D245" t="s">
        <v>12</v>
      </c>
      <c r="E245" t="s">
        <v>13</v>
      </c>
      <c r="F245">
        <v>2</v>
      </c>
      <c r="G245">
        <v>20000</v>
      </c>
      <c r="H245">
        <v>40000</v>
      </c>
      <c r="I245">
        <v>27200</v>
      </c>
      <c r="J245">
        <v>12800</v>
      </c>
      <c r="K245" t="str">
        <f>TEXT(B245,"mmm")</f>
        <v>Oct</v>
      </c>
    </row>
    <row r="246" spans="1:11" x14ac:dyDescent="0.25">
      <c r="A246" t="s">
        <v>31</v>
      </c>
      <c r="B246" s="4">
        <v>45942</v>
      </c>
      <c r="C246" t="s">
        <v>27</v>
      </c>
      <c r="D246" t="s">
        <v>20</v>
      </c>
      <c r="E246" t="s">
        <v>21</v>
      </c>
      <c r="F246">
        <v>8</v>
      </c>
      <c r="G246">
        <v>5000</v>
      </c>
      <c r="H246">
        <v>40000</v>
      </c>
      <c r="I246">
        <v>29200</v>
      </c>
      <c r="J246">
        <v>10800</v>
      </c>
      <c r="K246" t="str">
        <f>TEXT(B246,"mmm")</f>
        <v>Oct</v>
      </c>
    </row>
    <row r="247" spans="1:11" x14ac:dyDescent="0.25">
      <c r="A247" t="s">
        <v>45</v>
      </c>
      <c r="B247" s="4">
        <v>45954</v>
      </c>
      <c r="C247" t="s">
        <v>11</v>
      </c>
      <c r="D247" t="s">
        <v>20</v>
      </c>
      <c r="E247" t="s">
        <v>21</v>
      </c>
      <c r="F247">
        <v>8</v>
      </c>
      <c r="G247">
        <v>5000</v>
      </c>
      <c r="H247">
        <v>40000</v>
      </c>
      <c r="I247">
        <v>32800</v>
      </c>
      <c r="J247">
        <v>7200</v>
      </c>
      <c r="K247" t="str">
        <f>TEXT(B247,"mmm")</f>
        <v>Oct</v>
      </c>
    </row>
    <row r="248" spans="1:11" x14ac:dyDescent="0.25">
      <c r="A248" t="s">
        <v>51</v>
      </c>
      <c r="B248" s="4">
        <v>45959</v>
      </c>
      <c r="C248" t="s">
        <v>19</v>
      </c>
      <c r="D248" t="s">
        <v>12</v>
      </c>
      <c r="E248" t="s">
        <v>13</v>
      </c>
      <c r="F248">
        <v>2</v>
      </c>
      <c r="G248">
        <v>20000</v>
      </c>
      <c r="H248">
        <v>40000</v>
      </c>
      <c r="I248">
        <v>31200</v>
      </c>
      <c r="J248">
        <v>8800</v>
      </c>
      <c r="K248" t="str">
        <f>TEXT(B248,"mmm")</f>
        <v>Oct</v>
      </c>
    </row>
    <row r="249" spans="1:11" x14ac:dyDescent="0.25">
      <c r="A249" t="s">
        <v>76</v>
      </c>
      <c r="B249" s="4">
        <v>45984</v>
      </c>
      <c r="C249" t="s">
        <v>15</v>
      </c>
      <c r="D249" t="s">
        <v>20</v>
      </c>
      <c r="E249" t="s">
        <v>21</v>
      </c>
      <c r="F249">
        <v>8</v>
      </c>
      <c r="G249">
        <v>5000</v>
      </c>
      <c r="H249">
        <v>40000</v>
      </c>
      <c r="I249">
        <v>27600</v>
      </c>
      <c r="J249">
        <v>12400</v>
      </c>
      <c r="K249" t="str">
        <f>TEXT(B249,"mmm")</f>
        <v>Nov</v>
      </c>
    </row>
    <row r="250" spans="1:11" x14ac:dyDescent="0.25">
      <c r="A250" t="s">
        <v>89</v>
      </c>
      <c r="B250" s="4">
        <v>45997</v>
      </c>
      <c r="C250" t="s">
        <v>27</v>
      </c>
      <c r="D250" t="s">
        <v>36</v>
      </c>
      <c r="E250" t="s">
        <v>21</v>
      </c>
      <c r="F250">
        <v>4</v>
      </c>
      <c r="G250">
        <v>10000</v>
      </c>
      <c r="H250">
        <v>40000</v>
      </c>
      <c r="I250">
        <v>30800</v>
      </c>
      <c r="J250">
        <v>9200</v>
      </c>
      <c r="K250" t="str">
        <f>TEXT(B250,"mmm")</f>
        <v>Dec</v>
      </c>
    </row>
    <row r="251" spans="1:11" x14ac:dyDescent="0.25">
      <c r="A251" t="s">
        <v>121</v>
      </c>
      <c r="B251" s="4">
        <v>46029</v>
      </c>
      <c r="C251" t="s">
        <v>19</v>
      </c>
      <c r="D251" t="s">
        <v>20</v>
      </c>
      <c r="E251" t="s">
        <v>21</v>
      </c>
      <c r="F251">
        <v>8</v>
      </c>
      <c r="G251">
        <v>5000</v>
      </c>
      <c r="H251">
        <v>40000</v>
      </c>
      <c r="I251">
        <v>31600</v>
      </c>
      <c r="J251">
        <v>8400</v>
      </c>
      <c r="K251" t="str">
        <f>TEXT(B251,"mmm")</f>
        <v>Jan</v>
      </c>
    </row>
    <row r="252" spans="1:11" x14ac:dyDescent="0.25">
      <c r="A252" t="s">
        <v>139</v>
      </c>
      <c r="B252" s="4">
        <v>46047</v>
      </c>
      <c r="C252" t="s">
        <v>15</v>
      </c>
      <c r="D252" t="s">
        <v>49</v>
      </c>
      <c r="E252" t="s">
        <v>24</v>
      </c>
      <c r="F252">
        <v>5</v>
      </c>
      <c r="G252">
        <v>8000</v>
      </c>
      <c r="H252">
        <v>40000</v>
      </c>
      <c r="I252">
        <v>26800</v>
      </c>
      <c r="J252">
        <v>13200</v>
      </c>
      <c r="K252" t="str">
        <f>TEXT(B252,"mmm")</f>
        <v>Jan</v>
      </c>
    </row>
    <row r="253" spans="1:11" x14ac:dyDescent="0.25">
      <c r="A253" t="s">
        <v>162</v>
      </c>
      <c r="B253" s="4">
        <v>46070</v>
      </c>
      <c r="C253" t="s">
        <v>27</v>
      </c>
      <c r="D253" t="s">
        <v>12</v>
      </c>
      <c r="E253" t="s">
        <v>13</v>
      </c>
      <c r="F253">
        <v>2</v>
      </c>
      <c r="G253">
        <v>20000</v>
      </c>
      <c r="H253">
        <v>40000</v>
      </c>
      <c r="I253">
        <v>28400</v>
      </c>
      <c r="J253">
        <v>11600</v>
      </c>
      <c r="K253" t="str">
        <f>TEXT(B253,"mmm")</f>
        <v>Feb</v>
      </c>
    </row>
    <row r="254" spans="1:11" x14ac:dyDescent="0.25">
      <c r="A254" t="s">
        <v>170</v>
      </c>
      <c r="B254" s="4">
        <v>46078</v>
      </c>
      <c r="C254" t="s">
        <v>19</v>
      </c>
      <c r="D254" t="s">
        <v>20</v>
      </c>
      <c r="E254" t="s">
        <v>21</v>
      </c>
      <c r="F254">
        <v>8</v>
      </c>
      <c r="G254">
        <v>5000</v>
      </c>
      <c r="H254">
        <v>40000</v>
      </c>
      <c r="I254">
        <v>34000</v>
      </c>
      <c r="J254">
        <v>6000</v>
      </c>
      <c r="K254" t="str">
        <f>TEXT(B254,"mmm")</f>
        <v>Feb</v>
      </c>
    </row>
    <row r="255" spans="1:11" x14ac:dyDescent="0.25">
      <c r="A255" t="s">
        <v>224</v>
      </c>
      <c r="B255" s="4">
        <v>46132</v>
      </c>
      <c r="C255" t="s">
        <v>15</v>
      </c>
      <c r="D255" t="s">
        <v>36</v>
      </c>
      <c r="E255" t="s">
        <v>21</v>
      </c>
      <c r="F255">
        <v>4</v>
      </c>
      <c r="G255">
        <v>10000</v>
      </c>
      <c r="H255">
        <v>40000</v>
      </c>
      <c r="I255">
        <v>31600</v>
      </c>
      <c r="J255">
        <v>8400</v>
      </c>
      <c r="K255" t="str">
        <f>TEXT(B255,"mmm")</f>
        <v>Apr</v>
      </c>
    </row>
    <row r="256" spans="1:11" x14ac:dyDescent="0.25">
      <c r="A256" t="s">
        <v>230</v>
      </c>
      <c r="B256" s="4">
        <v>46138</v>
      </c>
      <c r="C256" t="s">
        <v>19</v>
      </c>
      <c r="D256" t="s">
        <v>20</v>
      </c>
      <c r="E256" t="s">
        <v>21</v>
      </c>
      <c r="F256">
        <v>8</v>
      </c>
      <c r="G256">
        <v>5000</v>
      </c>
      <c r="H256">
        <v>40000</v>
      </c>
      <c r="I256">
        <v>30400</v>
      </c>
      <c r="J256">
        <v>9600</v>
      </c>
      <c r="K256" t="str">
        <f>TEXT(B256,"mmm")</f>
        <v>Apr</v>
      </c>
    </row>
    <row r="257" spans="1:11" x14ac:dyDescent="0.25">
      <c r="A257" t="s">
        <v>243</v>
      </c>
      <c r="B257" s="4">
        <v>46151</v>
      </c>
      <c r="C257" t="s">
        <v>15</v>
      </c>
      <c r="D257" t="s">
        <v>36</v>
      </c>
      <c r="E257" t="s">
        <v>21</v>
      </c>
      <c r="F257">
        <v>4</v>
      </c>
      <c r="G257">
        <v>10000</v>
      </c>
      <c r="H257">
        <v>40000</v>
      </c>
      <c r="I257">
        <v>29200</v>
      </c>
      <c r="J257">
        <v>10800</v>
      </c>
      <c r="K257" t="str">
        <f>TEXT(B257,"mmm")</f>
        <v>May</v>
      </c>
    </row>
    <row r="258" spans="1:11" x14ac:dyDescent="0.25">
      <c r="A258" t="s">
        <v>257</v>
      </c>
      <c r="B258" s="4">
        <v>46165</v>
      </c>
      <c r="C258" t="s">
        <v>27</v>
      </c>
      <c r="D258" t="s">
        <v>20</v>
      </c>
      <c r="E258" t="s">
        <v>21</v>
      </c>
      <c r="F258">
        <v>8</v>
      </c>
      <c r="G258">
        <v>5000</v>
      </c>
      <c r="H258">
        <v>40000</v>
      </c>
      <c r="I258">
        <v>29600</v>
      </c>
      <c r="J258">
        <v>10400</v>
      </c>
      <c r="K258" t="str">
        <f>TEXT(B258,"mmm")</f>
        <v>May</v>
      </c>
    </row>
    <row r="259" spans="1:11" x14ac:dyDescent="0.25">
      <c r="A259" t="s">
        <v>280</v>
      </c>
      <c r="B259" s="4">
        <v>46188</v>
      </c>
      <c r="C259" t="s">
        <v>19</v>
      </c>
      <c r="D259" t="s">
        <v>12</v>
      </c>
      <c r="E259" t="s">
        <v>13</v>
      </c>
      <c r="F259">
        <v>2</v>
      </c>
      <c r="G259">
        <v>20000</v>
      </c>
      <c r="H259">
        <v>40000</v>
      </c>
      <c r="I259">
        <v>26800</v>
      </c>
      <c r="J259">
        <v>13200</v>
      </c>
      <c r="K259" t="str">
        <f>TEXT(B259,"mmm")</f>
        <v>Jun</v>
      </c>
    </row>
    <row r="260" spans="1:11" x14ac:dyDescent="0.25">
      <c r="A260" t="s">
        <v>282</v>
      </c>
      <c r="B260" s="4">
        <v>46190</v>
      </c>
      <c r="C260" t="s">
        <v>11</v>
      </c>
      <c r="D260" t="s">
        <v>12</v>
      </c>
      <c r="E260" t="s">
        <v>13</v>
      </c>
      <c r="F260">
        <v>2</v>
      </c>
      <c r="G260">
        <v>20000</v>
      </c>
      <c r="H260">
        <v>40000</v>
      </c>
      <c r="I260">
        <v>34000</v>
      </c>
      <c r="J260">
        <v>6000</v>
      </c>
      <c r="K260" t="str">
        <f>TEXT(B260,"mmm")</f>
        <v>Jun</v>
      </c>
    </row>
    <row r="261" spans="1:11" x14ac:dyDescent="0.25">
      <c r="A261" t="s">
        <v>294</v>
      </c>
      <c r="B261" s="4">
        <v>46202</v>
      </c>
      <c r="C261" t="s">
        <v>27</v>
      </c>
      <c r="D261" t="s">
        <v>20</v>
      </c>
      <c r="E261" t="s">
        <v>21</v>
      </c>
      <c r="F261">
        <v>8</v>
      </c>
      <c r="G261">
        <v>5000</v>
      </c>
      <c r="H261">
        <v>40000</v>
      </c>
      <c r="I261">
        <v>26400</v>
      </c>
      <c r="J261">
        <v>13600</v>
      </c>
      <c r="K261" t="str">
        <f>TEXT(B261,"mmm")</f>
        <v>Jun</v>
      </c>
    </row>
    <row r="262" spans="1:11" x14ac:dyDescent="0.25">
      <c r="A262" t="s">
        <v>302</v>
      </c>
      <c r="B262" s="4">
        <v>46210</v>
      </c>
      <c r="C262" t="s">
        <v>19</v>
      </c>
      <c r="D262" t="s">
        <v>49</v>
      </c>
      <c r="E262" t="s">
        <v>24</v>
      </c>
      <c r="F262">
        <v>5</v>
      </c>
      <c r="G262">
        <v>8000</v>
      </c>
      <c r="H262">
        <v>40000</v>
      </c>
      <c r="I262">
        <v>28800</v>
      </c>
      <c r="J262">
        <v>11200</v>
      </c>
      <c r="K262" t="str">
        <f>TEXT(B262,"mmm")</f>
        <v>Jul</v>
      </c>
    </row>
    <row r="263" spans="1:11" x14ac:dyDescent="0.25">
      <c r="A263" t="s">
        <v>428</v>
      </c>
      <c r="B263" s="4">
        <v>46336</v>
      </c>
      <c r="C263" t="s">
        <v>27</v>
      </c>
      <c r="D263" t="s">
        <v>49</v>
      </c>
      <c r="E263" t="s">
        <v>24</v>
      </c>
      <c r="F263">
        <v>5</v>
      </c>
      <c r="G263">
        <v>8000</v>
      </c>
      <c r="H263">
        <v>40000</v>
      </c>
      <c r="I263">
        <v>27200</v>
      </c>
      <c r="J263">
        <v>12800</v>
      </c>
      <c r="K263" t="str">
        <f>TEXT(B263,"mmm")</f>
        <v>Nov</v>
      </c>
    </row>
    <row r="264" spans="1:11" x14ac:dyDescent="0.25">
      <c r="A264" t="s">
        <v>453</v>
      </c>
      <c r="B264" s="4">
        <v>46361</v>
      </c>
      <c r="C264" t="s">
        <v>15</v>
      </c>
      <c r="D264" t="s">
        <v>20</v>
      </c>
      <c r="E264" t="s">
        <v>21</v>
      </c>
      <c r="F264">
        <v>8</v>
      </c>
      <c r="G264">
        <v>5000</v>
      </c>
      <c r="H264">
        <v>40000</v>
      </c>
      <c r="I264">
        <v>31200</v>
      </c>
      <c r="J264">
        <v>8800</v>
      </c>
      <c r="K264" t="str">
        <f>TEXT(B264,"mmm")</f>
        <v>Dec</v>
      </c>
    </row>
    <row r="265" spans="1:11" x14ac:dyDescent="0.25">
      <c r="A265" t="s">
        <v>458</v>
      </c>
      <c r="B265" s="4">
        <v>46366</v>
      </c>
      <c r="C265" t="s">
        <v>19</v>
      </c>
      <c r="D265" t="s">
        <v>36</v>
      </c>
      <c r="E265" t="s">
        <v>21</v>
      </c>
      <c r="F265">
        <v>4</v>
      </c>
      <c r="G265">
        <v>10000</v>
      </c>
      <c r="H265">
        <v>40000</v>
      </c>
      <c r="I265">
        <v>26000</v>
      </c>
      <c r="J265">
        <v>14000</v>
      </c>
      <c r="K265" t="str">
        <f>TEXT(B265,"mmm")</f>
        <v>Dec</v>
      </c>
    </row>
    <row r="266" spans="1:11" x14ac:dyDescent="0.25">
      <c r="A266" t="s">
        <v>471</v>
      </c>
      <c r="B266" s="4">
        <v>46379</v>
      </c>
      <c r="C266" t="s">
        <v>27</v>
      </c>
      <c r="D266" t="s">
        <v>12</v>
      </c>
      <c r="E266" t="s">
        <v>13</v>
      </c>
      <c r="F266">
        <v>2</v>
      </c>
      <c r="G266">
        <v>20000</v>
      </c>
      <c r="H266">
        <v>40000</v>
      </c>
      <c r="I266">
        <v>27600</v>
      </c>
      <c r="J266">
        <v>12400</v>
      </c>
      <c r="K266" t="str">
        <f>TEXT(B266,"mmm")</f>
        <v>Dec</v>
      </c>
    </row>
    <row r="267" spans="1:11" x14ac:dyDescent="0.25">
      <c r="A267" t="s">
        <v>495</v>
      </c>
      <c r="B267" s="4">
        <v>46403</v>
      </c>
      <c r="C267" t="s">
        <v>19</v>
      </c>
      <c r="D267" t="s">
        <v>12</v>
      </c>
      <c r="E267" t="s">
        <v>13</v>
      </c>
      <c r="F267">
        <v>2</v>
      </c>
      <c r="G267">
        <v>20000</v>
      </c>
      <c r="H267">
        <v>40000</v>
      </c>
      <c r="I267">
        <v>32000</v>
      </c>
      <c r="J267">
        <v>8000</v>
      </c>
      <c r="K267" t="str">
        <f>TEXT(B267,"mmm")</f>
        <v>Jan</v>
      </c>
    </row>
    <row r="268" spans="1:11" x14ac:dyDescent="0.25">
      <c r="A268" t="s">
        <v>507</v>
      </c>
      <c r="B268" s="4">
        <v>46415</v>
      </c>
      <c r="C268" t="s">
        <v>27</v>
      </c>
      <c r="D268" t="s">
        <v>12</v>
      </c>
      <c r="E268" t="s">
        <v>13</v>
      </c>
      <c r="F268">
        <v>2</v>
      </c>
      <c r="G268">
        <v>20000</v>
      </c>
      <c r="H268">
        <v>40000</v>
      </c>
      <c r="I268">
        <v>33600</v>
      </c>
      <c r="J268">
        <v>6400</v>
      </c>
      <c r="K268" t="str">
        <f>TEXT(B268,"mmm")</f>
        <v>Jan</v>
      </c>
    </row>
    <row r="269" spans="1:11" x14ac:dyDescent="0.25">
      <c r="A269" t="s">
        <v>209</v>
      </c>
      <c r="B269" s="4">
        <v>46117</v>
      </c>
      <c r="C269" t="s">
        <v>19</v>
      </c>
      <c r="D269" t="s">
        <v>20</v>
      </c>
      <c r="E269" t="s">
        <v>21</v>
      </c>
      <c r="F269">
        <v>7</v>
      </c>
      <c r="G269">
        <v>5000</v>
      </c>
      <c r="H269">
        <v>35000</v>
      </c>
      <c r="I269">
        <v>27300</v>
      </c>
      <c r="J269">
        <v>7700</v>
      </c>
      <c r="K269" t="str">
        <f>TEXT(B269,"mmm")</f>
        <v>Apr</v>
      </c>
    </row>
    <row r="270" spans="1:11" x14ac:dyDescent="0.25">
      <c r="A270" t="s">
        <v>304</v>
      </c>
      <c r="B270" s="4">
        <v>46212</v>
      </c>
      <c r="C270" t="s">
        <v>15</v>
      </c>
      <c r="D270" t="s">
        <v>20</v>
      </c>
      <c r="E270" t="s">
        <v>21</v>
      </c>
      <c r="F270">
        <v>7</v>
      </c>
      <c r="G270">
        <v>5000</v>
      </c>
      <c r="H270">
        <v>35000</v>
      </c>
      <c r="I270">
        <v>24850</v>
      </c>
      <c r="J270">
        <v>10150</v>
      </c>
      <c r="K270" t="str">
        <f>TEXT(B270,"mmm")</f>
        <v>Jul</v>
      </c>
    </row>
    <row r="271" spans="1:11" x14ac:dyDescent="0.25">
      <c r="A271" t="s">
        <v>333</v>
      </c>
      <c r="B271" s="4">
        <v>46241</v>
      </c>
      <c r="C271" t="s">
        <v>27</v>
      </c>
      <c r="D271" t="s">
        <v>20</v>
      </c>
      <c r="E271" t="s">
        <v>21</v>
      </c>
      <c r="F271">
        <v>7</v>
      </c>
      <c r="G271">
        <v>5000</v>
      </c>
      <c r="H271">
        <v>35000</v>
      </c>
      <c r="I271">
        <v>24500</v>
      </c>
      <c r="J271">
        <v>10500</v>
      </c>
      <c r="K271" t="str">
        <f>TEXT(B271,"mmm")</f>
        <v>Aug</v>
      </c>
    </row>
    <row r="272" spans="1:11" x14ac:dyDescent="0.25">
      <c r="A272" t="s">
        <v>364</v>
      </c>
      <c r="B272" s="4">
        <v>46272</v>
      </c>
      <c r="C272" t="s">
        <v>19</v>
      </c>
      <c r="D272" t="s">
        <v>20</v>
      </c>
      <c r="E272" t="s">
        <v>21</v>
      </c>
      <c r="F272">
        <v>7</v>
      </c>
      <c r="G272">
        <v>5000</v>
      </c>
      <c r="H272">
        <v>35000</v>
      </c>
      <c r="I272">
        <v>24150</v>
      </c>
      <c r="J272">
        <v>10850</v>
      </c>
      <c r="K272" t="str">
        <f>TEXT(B272,"mmm")</f>
        <v>Sep</v>
      </c>
    </row>
    <row r="273" spans="1:11" x14ac:dyDescent="0.25">
      <c r="A273" t="s">
        <v>408</v>
      </c>
      <c r="B273" s="4">
        <v>46316</v>
      </c>
      <c r="C273" t="s">
        <v>19</v>
      </c>
      <c r="D273" t="s">
        <v>20</v>
      </c>
      <c r="E273" t="s">
        <v>21</v>
      </c>
      <c r="F273">
        <v>7</v>
      </c>
      <c r="G273">
        <v>5000</v>
      </c>
      <c r="H273">
        <v>35000</v>
      </c>
      <c r="I273">
        <v>29050</v>
      </c>
      <c r="J273">
        <v>5950</v>
      </c>
      <c r="K273" t="str">
        <f>TEXT(B273,"mmm")</f>
        <v>Oct</v>
      </c>
    </row>
    <row r="274" spans="1:11" x14ac:dyDescent="0.25">
      <c r="A274" t="s">
        <v>74</v>
      </c>
      <c r="B274" s="4">
        <v>45982</v>
      </c>
      <c r="C274" t="s">
        <v>27</v>
      </c>
      <c r="D274" t="s">
        <v>49</v>
      </c>
      <c r="E274" t="s">
        <v>24</v>
      </c>
      <c r="F274">
        <v>4</v>
      </c>
      <c r="G274">
        <v>8000</v>
      </c>
      <c r="H274">
        <v>32000</v>
      </c>
      <c r="I274">
        <v>25280</v>
      </c>
      <c r="J274">
        <v>6720</v>
      </c>
      <c r="K274" t="str">
        <f>TEXT(B274,"mmm")</f>
        <v>Nov</v>
      </c>
    </row>
    <row r="275" spans="1:11" x14ac:dyDescent="0.25">
      <c r="A275" t="s">
        <v>247</v>
      </c>
      <c r="B275" s="4">
        <v>46155</v>
      </c>
      <c r="C275" t="s">
        <v>11</v>
      </c>
      <c r="D275" t="s">
        <v>49</v>
      </c>
      <c r="E275" t="s">
        <v>24</v>
      </c>
      <c r="F275">
        <v>4</v>
      </c>
      <c r="G275">
        <v>8000</v>
      </c>
      <c r="H275">
        <v>32000</v>
      </c>
      <c r="I275">
        <v>22720</v>
      </c>
      <c r="J275">
        <v>9280</v>
      </c>
      <c r="K275" t="str">
        <f>TEXT(B275,"mmm")</f>
        <v>May</v>
      </c>
    </row>
    <row r="276" spans="1:11" x14ac:dyDescent="0.25">
      <c r="A276" t="s">
        <v>272</v>
      </c>
      <c r="B276" s="4">
        <v>46180</v>
      </c>
      <c r="C276" t="s">
        <v>27</v>
      </c>
      <c r="D276" t="s">
        <v>49</v>
      </c>
      <c r="E276" t="s">
        <v>24</v>
      </c>
      <c r="F276">
        <v>4</v>
      </c>
      <c r="G276">
        <v>8000</v>
      </c>
      <c r="H276">
        <v>32000</v>
      </c>
      <c r="I276">
        <v>24640</v>
      </c>
      <c r="J276">
        <v>7360</v>
      </c>
      <c r="K276" t="str">
        <f>TEXT(B276,"mmm")</f>
        <v>Jun</v>
      </c>
    </row>
    <row r="277" spans="1:11" x14ac:dyDescent="0.25">
      <c r="A277" t="s">
        <v>316</v>
      </c>
      <c r="B277" s="4">
        <v>46224</v>
      </c>
      <c r="C277" t="s">
        <v>19</v>
      </c>
      <c r="D277" t="s">
        <v>49</v>
      </c>
      <c r="E277" t="s">
        <v>24</v>
      </c>
      <c r="F277">
        <v>4</v>
      </c>
      <c r="G277">
        <v>8000</v>
      </c>
      <c r="H277">
        <v>32000</v>
      </c>
      <c r="I277">
        <v>20800</v>
      </c>
      <c r="J277">
        <v>11200</v>
      </c>
      <c r="K277" t="str">
        <f>TEXT(B277,"mmm")</f>
        <v>Jul</v>
      </c>
    </row>
    <row r="278" spans="1:11" x14ac:dyDescent="0.25">
      <c r="A278" t="s">
        <v>64</v>
      </c>
      <c r="B278" s="4">
        <v>45972</v>
      </c>
      <c r="C278" t="s">
        <v>27</v>
      </c>
      <c r="D278" t="s">
        <v>16</v>
      </c>
      <c r="E278" t="s">
        <v>13</v>
      </c>
      <c r="F278">
        <v>2</v>
      </c>
      <c r="G278">
        <v>15000</v>
      </c>
      <c r="H278">
        <v>30000</v>
      </c>
      <c r="I278">
        <v>22200</v>
      </c>
      <c r="J278">
        <v>7800</v>
      </c>
      <c r="K278" t="str">
        <f>TEXT(B278,"mmm")</f>
        <v>Nov</v>
      </c>
    </row>
    <row r="279" spans="1:11" x14ac:dyDescent="0.25">
      <c r="A279" t="s">
        <v>68</v>
      </c>
      <c r="B279" s="4">
        <v>45976</v>
      </c>
      <c r="C279" t="s">
        <v>19</v>
      </c>
      <c r="D279" t="s">
        <v>16</v>
      </c>
      <c r="E279" t="s">
        <v>13</v>
      </c>
      <c r="F279">
        <v>2</v>
      </c>
      <c r="G279">
        <v>15000</v>
      </c>
      <c r="H279">
        <v>30000</v>
      </c>
      <c r="I279">
        <v>21300</v>
      </c>
      <c r="J279">
        <v>8700</v>
      </c>
      <c r="K279" t="str">
        <f>TEXT(B279,"mmm")</f>
        <v>Nov</v>
      </c>
    </row>
    <row r="280" spans="1:11" x14ac:dyDescent="0.25">
      <c r="A280" t="s">
        <v>84</v>
      </c>
      <c r="B280" s="4">
        <v>45992</v>
      </c>
      <c r="C280" t="s">
        <v>19</v>
      </c>
      <c r="D280" t="s">
        <v>36</v>
      </c>
      <c r="E280" t="s">
        <v>21</v>
      </c>
      <c r="F280">
        <v>3</v>
      </c>
      <c r="G280">
        <v>10000</v>
      </c>
      <c r="H280">
        <v>30000</v>
      </c>
      <c r="I280">
        <v>21000</v>
      </c>
      <c r="J280">
        <v>9000</v>
      </c>
      <c r="K280" t="str">
        <f>TEXT(B280,"mmm")</f>
        <v>Dec</v>
      </c>
    </row>
    <row r="281" spans="1:11" x14ac:dyDescent="0.25">
      <c r="A281" t="s">
        <v>110</v>
      </c>
      <c r="B281" s="4">
        <v>46018</v>
      </c>
      <c r="C281" t="s">
        <v>27</v>
      </c>
      <c r="D281" t="s">
        <v>16</v>
      </c>
      <c r="E281" t="s">
        <v>13</v>
      </c>
      <c r="F281">
        <v>2</v>
      </c>
      <c r="G281">
        <v>15000</v>
      </c>
      <c r="H281">
        <v>30000</v>
      </c>
      <c r="I281">
        <v>21600</v>
      </c>
      <c r="J281">
        <v>8400</v>
      </c>
      <c r="K281" t="str">
        <f>TEXT(B281,"mmm")</f>
        <v>Dec</v>
      </c>
    </row>
    <row r="282" spans="1:11" x14ac:dyDescent="0.25">
      <c r="A282" t="s">
        <v>186</v>
      </c>
      <c r="B282" s="4">
        <v>46094</v>
      </c>
      <c r="C282" t="s">
        <v>27</v>
      </c>
      <c r="D282" t="s">
        <v>36</v>
      </c>
      <c r="E282" t="s">
        <v>21</v>
      </c>
      <c r="F282">
        <v>3</v>
      </c>
      <c r="G282">
        <v>10000</v>
      </c>
      <c r="H282">
        <v>30000</v>
      </c>
      <c r="I282">
        <v>23100</v>
      </c>
      <c r="J282">
        <v>6900</v>
      </c>
      <c r="K282" t="str">
        <f>TEXT(B282,"mmm")</f>
        <v>Mar</v>
      </c>
    </row>
    <row r="283" spans="1:11" x14ac:dyDescent="0.25">
      <c r="A283" t="s">
        <v>195</v>
      </c>
      <c r="B283" s="4">
        <v>46103</v>
      </c>
      <c r="C283" t="s">
        <v>11</v>
      </c>
      <c r="D283" t="s">
        <v>20</v>
      </c>
      <c r="E283" t="s">
        <v>21</v>
      </c>
      <c r="F283">
        <v>6</v>
      </c>
      <c r="G283">
        <v>5000</v>
      </c>
      <c r="H283">
        <v>30000</v>
      </c>
      <c r="I283">
        <v>25200</v>
      </c>
      <c r="J283">
        <v>4800</v>
      </c>
      <c r="K283" t="str">
        <f>TEXT(B283,"mmm")</f>
        <v>Mar</v>
      </c>
    </row>
    <row r="284" spans="1:11" x14ac:dyDescent="0.25">
      <c r="A284" t="s">
        <v>203</v>
      </c>
      <c r="B284" s="4">
        <v>46111</v>
      </c>
      <c r="C284" t="s">
        <v>19</v>
      </c>
      <c r="D284" t="s">
        <v>36</v>
      </c>
      <c r="E284" t="s">
        <v>21</v>
      </c>
      <c r="F284">
        <v>3</v>
      </c>
      <c r="G284">
        <v>10000</v>
      </c>
      <c r="H284">
        <v>30000</v>
      </c>
      <c r="I284">
        <v>24300</v>
      </c>
      <c r="J284">
        <v>5700</v>
      </c>
      <c r="K284" t="str">
        <f>TEXT(B284,"mmm")</f>
        <v>Mar</v>
      </c>
    </row>
    <row r="285" spans="1:11" x14ac:dyDescent="0.25">
      <c r="A285" t="s">
        <v>217</v>
      </c>
      <c r="B285" s="4">
        <v>46125</v>
      </c>
      <c r="C285" t="s">
        <v>11</v>
      </c>
      <c r="D285" t="s">
        <v>36</v>
      </c>
      <c r="E285" t="s">
        <v>21</v>
      </c>
      <c r="F285">
        <v>3</v>
      </c>
      <c r="G285">
        <v>10000</v>
      </c>
      <c r="H285">
        <v>30000</v>
      </c>
      <c r="I285">
        <v>21300</v>
      </c>
      <c r="J285">
        <v>8700</v>
      </c>
      <c r="K285" t="str">
        <f>TEXT(B285,"mmm")</f>
        <v>Apr</v>
      </c>
    </row>
    <row r="286" spans="1:11" x14ac:dyDescent="0.25">
      <c r="A286" t="s">
        <v>222</v>
      </c>
      <c r="B286" s="4">
        <v>46130</v>
      </c>
      <c r="C286" t="s">
        <v>15</v>
      </c>
      <c r="D286" t="s">
        <v>20</v>
      </c>
      <c r="E286" t="s">
        <v>21</v>
      </c>
      <c r="F286">
        <v>6</v>
      </c>
      <c r="G286">
        <v>5000</v>
      </c>
      <c r="H286">
        <v>30000</v>
      </c>
      <c r="I286">
        <v>22500</v>
      </c>
      <c r="J286">
        <v>7500</v>
      </c>
      <c r="K286" t="str">
        <f>TEXT(B286,"mmm")</f>
        <v>Apr</v>
      </c>
    </row>
    <row r="287" spans="1:11" x14ac:dyDescent="0.25">
      <c r="A287" t="s">
        <v>273</v>
      </c>
      <c r="B287" s="4">
        <v>46181</v>
      </c>
      <c r="C287" t="s">
        <v>11</v>
      </c>
      <c r="D287" t="s">
        <v>20</v>
      </c>
      <c r="E287" t="s">
        <v>21</v>
      </c>
      <c r="F287">
        <v>6</v>
      </c>
      <c r="G287">
        <v>5000</v>
      </c>
      <c r="H287">
        <v>30000</v>
      </c>
      <c r="I287">
        <v>23400</v>
      </c>
      <c r="J287">
        <v>6600</v>
      </c>
      <c r="K287" t="str">
        <f>TEXT(B287,"mmm")</f>
        <v>Jun</v>
      </c>
    </row>
    <row r="288" spans="1:11" x14ac:dyDescent="0.25">
      <c r="A288" t="s">
        <v>306</v>
      </c>
      <c r="B288" s="4">
        <v>46214</v>
      </c>
      <c r="C288" t="s">
        <v>19</v>
      </c>
      <c r="D288" t="s">
        <v>16</v>
      </c>
      <c r="E288" t="s">
        <v>13</v>
      </c>
      <c r="F288">
        <v>2</v>
      </c>
      <c r="G288">
        <v>15000</v>
      </c>
      <c r="H288">
        <v>30000</v>
      </c>
      <c r="I288">
        <v>24300</v>
      </c>
      <c r="J288">
        <v>5700</v>
      </c>
      <c r="K288" t="str">
        <f>TEXT(B288,"mmm")</f>
        <v>Jul</v>
      </c>
    </row>
    <row r="289" spans="1:11" x14ac:dyDescent="0.25">
      <c r="A289" t="s">
        <v>307</v>
      </c>
      <c r="B289" s="4">
        <v>46215</v>
      </c>
      <c r="C289" t="s">
        <v>27</v>
      </c>
      <c r="D289" t="s">
        <v>20</v>
      </c>
      <c r="E289" t="s">
        <v>21</v>
      </c>
      <c r="F289">
        <v>6</v>
      </c>
      <c r="G289">
        <v>5000</v>
      </c>
      <c r="H289">
        <v>30000</v>
      </c>
      <c r="I289">
        <v>19800</v>
      </c>
      <c r="J289">
        <v>10200</v>
      </c>
      <c r="K289" t="str">
        <f>TEXT(B289,"mmm")</f>
        <v>Jul</v>
      </c>
    </row>
    <row r="290" spans="1:11" x14ac:dyDescent="0.25">
      <c r="A290" t="s">
        <v>353</v>
      </c>
      <c r="B290" s="4">
        <v>46261</v>
      </c>
      <c r="C290" t="s">
        <v>15</v>
      </c>
      <c r="D290" t="s">
        <v>36</v>
      </c>
      <c r="E290" t="s">
        <v>21</v>
      </c>
      <c r="F290">
        <v>3</v>
      </c>
      <c r="G290">
        <v>10000</v>
      </c>
      <c r="H290">
        <v>30000</v>
      </c>
      <c r="I290">
        <v>24300</v>
      </c>
      <c r="J290">
        <v>5700</v>
      </c>
      <c r="K290" t="str">
        <f>TEXT(B290,"mmm")</f>
        <v>Aug</v>
      </c>
    </row>
    <row r="291" spans="1:11" x14ac:dyDescent="0.25">
      <c r="A291" t="s">
        <v>366</v>
      </c>
      <c r="B291" s="4">
        <v>46274</v>
      </c>
      <c r="C291" t="s">
        <v>27</v>
      </c>
      <c r="D291" t="s">
        <v>20</v>
      </c>
      <c r="E291" t="s">
        <v>21</v>
      </c>
      <c r="F291">
        <v>6</v>
      </c>
      <c r="G291">
        <v>5000</v>
      </c>
      <c r="H291">
        <v>30000</v>
      </c>
      <c r="I291">
        <v>21900</v>
      </c>
      <c r="J291">
        <v>8100</v>
      </c>
      <c r="K291" t="str">
        <f>TEXT(B291,"mmm")</f>
        <v>Sep</v>
      </c>
    </row>
    <row r="292" spans="1:11" x14ac:dyDescent="0.25">
      <c r="A292" t="s">
        <v>386</v>
      </c>
      <c r="B292" s="4">
        <v>46294</v>
      </c>
      <c r="C292" t="s">
        <v>27</v>
      </c>
      <c r="D292" t="s">
        <v>20</v>
      </c>
      <c r="E292" t="s">
        <v>21</v>
      </c>
      <c r="F292">
        <v>6</v>
      </c>
      <c r="G292">
        <v>5000</v>
      </c>
      <c r="H292">
        <v>30000</v>
      </c>
      <c r="I292">
        <v>23400</v>
      </c>
      <c r="J292">
        <v>6600</v>
      </c>
      <c r="K292" t="str">
        <f>TEXT(B292,"mmm")</f>
        <v>Sep</v>
      </c>
    </row>
    <row r="293" spans="1:11" x14ac:dyDescent="0.25">
      <c r="A293" t="s">
        <v>401</v>
      </c>
      <c r="B293" s="4">
        <v>46309</v>
      </c>
      <c r="C293" t="s">
        <v>27</v>
      </c>
      <c r="D293" t="s">
        <v>36</v>
      </c>
      <c r="E293" t="s">
        <v>21</v>
      </c>
      <c r="F293">
        <v>3</v>
      </c>
      <c r="G293">
        <v>10000</v>
      </c>
      <c r="H293">
        <v>30000</v>
      </c>
      <c r="I293">
        <v>20400</v>
      </c>
      <c r="J293">
        <v>9600</v>
      </c>
      <c r="K293" t="str">
        <f>TEXT(B293,"mmm")</f>
        <v>Oct</v>
      </c>
    </row>
    <row r="294" spans="1:11" x14ac:dyDescent="0.25">
      <c r="A294" t="s">
        <v>457</v>
      </c>
      <c r="B294" s="4">
        <v>46365</v>
      </c>
      <c r="C294" t="s">
        <v>19</v>
      </c>
      <c r="D294" t="s">
        <v>34</v>
      </c>
      <c r="E294" t="s">
        <v>13</v>
      </c>
      <c r="F294">
        <v>10</v>
      </c>
      <c r="G294">
        <v>3000</v>
      </c>
      <c r="H294">
        <v>30000</v>
      </c>
      <c r="I294">
        <v>24600</v>
      </c>
      <c r="J294">
        <v>5400</v>
      </c>
      <c r="K294" t="str">
        <f>TEXT(B294,"mmm")</f>
        <v>Dec</v>
      </c>
    </row>
    <row r="295" spans="1:11" x14ac:dyDescent="0.25">
      <c r="A295" t="s">
        <v>474</v>
      </c>
      <c r="B295" s="4">
        <v>46382</v>
      </c>
      <c r="C295" t="s">
        <v>19</v>
      </c>
      <c r="D295" t="s">
        <v>34</v>
      </c>
      <c r="E295" t="s">
        <v>13</v>
      </c>
      <c r="F295">
        <v>10</v>
      </c>
      <c r="G295">
        <v>3000</v>
      </c>
      <c r="H295">
        <v>30000</v>
      </c>
      <c r="I295">
        <v>24000</v>
      </c>
      <c r="J295">
        <v>6000</v>
      </c>
      <c r="K295" t="str">
        <f>TEXT(B295,"mmm")</f>
        <v>Dec</v>
      </c>
    </row>
    <row r="296" spans="1:11" x14ac:dyDescent="0.25">
      <c r="A296" t="s">
        <v>90</v>
      </c>
      <c r="B296" s="4">
        <v>45998</v>
      </c>
      <c r="C296" t="s">
        <v>15</v>
      </c>
      <c r="D296" t="s">
        <v>34</v>
      </c>
      <c r="E296" t="s">
        <v>13</v>
      </c>
      <c r="F296">
        <v>9</v>
      </c>
      <c r="G296">
        <v>3000</v>
      </c>
      <c r="H296">
        <v>27000</v>
      </c>
      <c r="I296">
        <v>20250</v>
      </c>
      <c r="J296">
        <v>6750</v>
      </c>
      <c r="K296" t="str">
        <f>TEXT(B296,"mmm")</f>
        <v>Dec</v>
      </c>
    </row>
    <row r="297" spans="1:11" x14ac:dyDescent="0.25">
      <c r="A297" t="s">
        <v>172</v>
      </c>
      <c r="B297" s="4">
        <v>46080</v>
      </c>
      <c r="C297" t="s">
        <v>19</v>
      </c>
      <c r="D297" t="s">
        <v>34</v>
      </c>
      <c r="E297" t="s">
        <v>13</v>
      </c>
      <c r="F297">
        <v>9</v>
      </c>
      <c r="G297">
        <v>3000</v>
      </c>
      <c r="H297">
        <v>27000</v>
      </c>
      <c r="I297">
        <v>22410</v>
      </c>
      <c r="J297">
        <v>4590</v>
      </c>
      <c r="K297" t="str">
        <f>TEXT(B297,"mmm")</f>
        <v>Feb</v>
      </c>
    </row>
    <row r="298" spans="1:11" x14ac:dyDescent="0.25">
      <c r="A298" t="s">
        <v>268</v>
      </c>
      <c r="B298" s="4">
        <v>46176</v>
      </c>
      <c r="C298" t="s">
        <v>15</v>
      </c>
      <c r="D298" t="s">
        <v>34</v>
      </c>
      <c r="E298" t="s">
        <v>13</v>
      </c>
      <c r="F298">
        <v>9</v>
      </c>
      <c r="G298">
        <v>3000</v>
      </c>
      <c r="H298">
        <v>27000</v>
      </c>
      <c r="I298">
        <v>19980</v>
      </c>
      <c r="J298">
        <v>7020</v>
      </c>
      <c r="K298" t="str">
        <f>TEXT(B298,"mmm")</f>
        <v>Jun</v>
      </c>
    </row>
    <row r="299" spans="1:11" x14ac:dyDescent="0.25">
      <c r="A299" t="s">
        <v>292</v>
      </c>
      <c r="B299" s="4">
        <v>46200</v>
      </c>
      <c r="C299" t="s">
        <v>19</v>
      </c>
      <c r="D299" t="s">
        <v>34</v>
      </c>
      <c r="E299" t="s">
        <v>13</v>
      </c>
      <c r="F299">
        <v>9</v>
      </c>
      <c r="G299">
        <v>3000</v>
      </c>
      <c r="H299">
        <v>27000</v>
      </c>
      <c r="I299">
        <v>19980</v>
      </c>
      <c r="J299">
        <v>7020</v>
      </c>
      <c r="K299" t="str">
        <f>TEXT(B299,"mmm")</f>
        <v>Jun</v>
      </c>
    </row>
    <row r="300" spans="1:11" x14ac:dyDescent="0.25">
      <c r="A300" t="s">
        <v>295</v>
      </c>
      <c r="B300" s="4">
        <v>46203</v>
      </c>
      <c r="C300" t="s">
        <v>11</v>
      </c>
      <c r="D300" t="s">
        <v>34</v>
      </c>
      <c r="E300" t="s">
        <v>13</v>
      </c>
      <c r="F300">
        <v>9</v>
      </c>
      <c r="G300">
        <v>3000</v>
      </c>
      <c r="H300">
        <v>27000</v>
      </c>
      <c r="I300">
        <v>17550</v>
      </c>
      <c r="J300">
        <v>9450</v>
      </c>
      <c r="K300" t="str">
        <f>TEXT(B300,"mmm")</f>
        <v>Jun</v>
      </c>
    </row>
    <row r="301" spans="1:11" x14ac:dyDescent="0.25">
      <c r="A301" t="s">
        <v>387</v>
      </c>
      <c r="B301" s="4">
        <v>46295</v>
      </c>
      <c r="C301" t="s">
        <v>27</v>
      </c>
      <c r="D301" t="s">
        <v>34</v>
      </c>
      <c r="E301" t="s">
        <v>13</v>
      </c>
      <c r="F301">
        <v>9</v>
      </c>
      <c r="G301">
        <v>3000</v>
      </c>
      <c r="H301">
        <v>27000</v>
      </c>
      <c r="I301">
        <v>20520</v>
      </c>
      <c r="J301">
        <v>6480</v>
      </c>
      <c r="K301" t="str">
        <f>TEXT(B301,"mmm")</f>
        <v>Sep</v>
      </c>
    </row>
    <row r="302" spans="1:11" x14ac:dyDescent="0.25">
      <c r="A302" t="s">
        <v>454</v>
      </c>
      <c r="B302" s="4">
        <v>46362</v>
      </c>
      <c r="C302" t="s">
        <v>19</v>
      </c>
      <c r="D302" t="s">
        <v>34</v>
      </c>
      <c r="E302" t="s">
        <v>13</v>
      </c>
      <c r="F302">
        <v>9</v>
      </c>
      <c r="G302">
        <v>3000</v>
      </c>
      <c r="H302">
        <v>27000</v>
      </c>
      <c r="I302">
        <v>21330</v>
      </c>
      <c r="J302">
        <v>5670</v>
      </c>
      <c r="K302" t="str">
        <f>TEXT(B302,"mmm")</f>
        <v>Dec</v>
      </c>
    </row>
    <row r="303" spans="1:11" x14ac:dyDescent="0.25">
      <c r="A303" t="s">
        <v>503</v>
      </c>
      <c r="B303" s="4">
        <v>46411</v>
      </c>
      <c r="C303" t="s">
        <v>19</v>
      </c>
      <c r="D303" t="s">
        <v>34</v>
      </c>
      <c r="E303" t="s">
        <v>13</v>
      </c>
      <c r="F303">
        <v>9</v>
      </c>
      <c r="G303">
        <v>3000</v>
      </c>
      <c r="H303">
        <v>27000</v>
      </c>
      <c r="I303">
        <v>21870</v>
      </c>
      <c r="J303">
        <v>5130</v>
      </c>
      <c r="K303" t="str">
        <f>TEXT(B303,"mmm")</f>
        <v>Jan</v>
      </c>
    </row>
    <row r="304" spans="1:11" x14ac:dyDescent="0.25">
      <c r="A304" t="s">
        <v>128</v>
      </c>
      <c r="B304" s="4">
        <v>46036</v>
      </c>
      <c r="C304" t="s">
        <v>19</v>
      </c>
      <c r="D304" t="s">
        <v>20</v>
      </c>
      <c r="E304" t="s">
        <v>21</v>
      </c>
      <c r="F304">
        <v>5</v>
      </c>
      <c r="G304">
        <v>5000</v>
      </c>
      <c r="H304">
        <v>25000</v>
      </c>
      <c r="I304">
        <v>17000</v>
      </c>
      <c r="J304">
        <v>8000</v>
      </c>
      <c r="K304" t="str">
        <f>TEXT(B304,"mmm")</f>
        <v>Jan</v>
      </c>
    </row>
    <row r="305" spans="1:11" x14ac:dyDescent="0.25">
      <c r="A305" t="s">
        <v>326</v>
      </c>
      <c r="B305" s="4">
        <v>46234</v>
      </c>
      <c r="C305" t="s">
        <v>27</v>
      </c>
      <c r="D305" t="s">
        <v>20</v>
      </c>
      <c r="E305" t="s">
        <v>21</v>
      </c>
      <c r="F305">
        <v>5</v>
      </c>
      <c r="G305">
        <v>5000</v>
      </c>
      <c r="H305">
        <v>25000</v>
      </c>
      <c r="I305">
        <v>16500</v>
      </c>
      <c r="J305">
        <v>8500</v>
      </c>
      <c r="K305" t="str">
        <f>TEXT(B305,"mmm")</f>
        <v>Jul</v>
      </c>
    </row>
    <row r="306" spans="1:11" x14ac:dyDescent="0.25">
      <c r="A306" t="s">
        <v>331</v>
      </c>
      <c r="B306" s="4">
        <v>46239</v>
      </c>
      <c r="C306" t="s">
        <v>27</v>
      </c>
      <c r="D306" t="s">
        <v>20</v>
      </c>
      <c r="E306" t="s">
        <v>21</v>
      </c>
      <c r="F306">
        <v>5</v>
      </c>
      <c r="G306">
        <v>5000</v>
      </c>
      <c r="H306">
        <v>25000</v>
      </c>
      <c r="I306">
        <v>17000</v>
      </c>
      <c r="J306">
        <v>8000</v>
      </c>
      <c r="K306" t="str">
        <f>TEXT(B306,"mmm")</f>
        <v>Aug</v>
      </c>
    </row>
    <row r="307" spans="1:11" x14ac:dyDescent="0.25">
      <c r="A307" t="s">
        <v>360</v>
      </c>
      <c r="B307" s="4">
        <v>46268</v>
      </c>
      <c r="C307" t="s">
        <v>27</v>
      </c>
      <c r="D307" t="s">
        <v>20</v>
      </c>
      <c r="E307" t="s">
        <v>21</v>
      </c>
      <c r="F307">
        <v>5</v>
      </c>
      <c r="G307">
        <v>5000</v>
      </c>
      <c r="H307">
        <v>25000</v>
      </c>
      <c r="I307">
        <v>21250</v>
      </c>
      <c r="J307">
        <v>3750</v>
      </c>
      <c r="K307" t="str">
        <f>TEXT(B307,"mmm")</f>
        <v>Sep</v>
      </c>
    </row>
    <row r="308" spans="1:11" x14ac:dyDescent="0.25">
      <c r="A308" t="s">
        <v>37</v>
      </c>
      <c r="B308" s="4">
        <v>45946</v>
      </c>
      <c r="C308" t="s">
        <v>11</v>
      </c>
      <c r="D308" t="s">
        <v>34</v>
      </c>
      <c r="E308" t="s">
        <v>13</v>
      </c>
      <c r="F308">
        <v>8</v>
      </c>
      <c r="G308">
        <v>3000</v>
      </c>
      <c r="H308">
        <v>24000</v>
      </c>
      <c r="I308">
        <v>16080</v>
      </c>
      <c r="J308">
        <v>7920</v>
      </c>
      <c r="K308" t="str">
        <f>TEXT(B308,"mmm")</f>
        <v>Oct</v>
      </c>
    </row>
    <row r="309" spans="1:11" x14ac:dyDescent="0.25">
      <c r="A309" t="s">
        <v>62</v>
      </c>
      <c r="B309" s="4">
        <v>45970</v>
      </c>
      <c r="C309" t="s">
        <v>27</v>
      </c>
      <c r="D309" t="s">
        <v>49</v>
      </c>
      <c r="E309" t="s">
        <v>24</v>
      </c>
      <c r="F309">
        <v>3</v>
      </c>
      <c r="G309">
        <v>8000</v>
      </c>
      <c r="H309">
        <v>24000</v>
      </c>
      <c r="I309">
        <v>18960</v>
      </c>
      <c r="J309">
        <v>5040</v>
      </c>
      <c r="K309" t="str">
        <f>TEXT(B309,"mmm")</f>
        <v>Nov</v>
      </c>
    </row>
    <row r="310" spans="1:11" x14ac:dyDescent="0.25">
      <c r="A310" t="s">
        <v>67</v>
      </c>
      <c r="B310" s="4">
        <v>45975</v>
      </c>
      <c r="C310" t="s">
        <v>27</v>
      </c>
      <c r="D310" t="s">
        <v>34</v>
      </c>
      <c r="E310" t="s">
        <v>13</v>
      </c>
      <c r="F310">
        <v>8</v>
      </c>
      <c r="G310">
        <v>3000</v>
      </c>
      <c r="H310">
        <v>24000</v>
      </c>
      <c r="I310">
        <v>18240</v>
      </c>
      <c r="J310">
        <v>5760</v>
      </c>
      <c r="K310" t="str">
        <f>TEXT(B310,"mmm")</f>
        <v>Nov</v>
      </c>
    </row>
    <row r="311" spans="1:11" x14ac:dyDescent="0.25">
      <c r="A311" t="s">
        <v>130</v>
      </c>
      <c r="B311" s="4">
        <v>46038</v>
      </c>
      <c r="C311" t="s">
        <v>11</v>
      </c>
      <c r="D311" t="s">
        <v>34</v>
      </c>
      <c r="E311" t="s">
        <v>13</v>
      </c>
      <c r="F311">
        <v>8</v>
      </c>
      <c r="G311">
        <v>3000</v>
      </c>
      <c r="H311">
        <v>24000</v>
      </c>
      <c r="I311">
        <v>20160</v>
      </c>
      <c r="J311">
        <v>3840</v>
      </c>
      <c r="K311" t="str">
        <f>TEXT(B311,"mmm")</f>
        <v>Jan</v>
      </c>
    </row>
    <row r="312" spans="1:11" x14ac:dyDescent="0.25">
      <c r="A312" t="s">
        <v>205</v>
      </c>
      <c r="B312" s="4">
        <v>46113</v>
      </c>
      <c r="C312" t="s">
        <v>11</v>
      </c>
      <c r="D312" t="s">
        <v>34</v>
      </c>
      <c r="E312" t="s">
        <v>13</v>
      </c>
      <c r="F312">
        <v>8</v>
      </c>
      <c r="G312">
        <v>3000</v>
      </c>
      <c r="H312">
        <v>24000</v>
      </c>
      <c r="I312">
        <v>18720</v>
      </c>
      <c r="J312">
        <v>5280</v>
      </c>
      <c r="K312" t="str">
        <f>TEXT(B312,"mmm")</f>
        <v>Apr</v>
      </c>
    </row>
    <row r="313" spans="1:11" x14ac:dyDescent="0.25">
      <c r="A313" t="s">
        <v>213</v>
      </c>
      <c r="B313" s="4">
        <v>46121</v>
      </c>
      <c r="C313" t="s">
        <v>27</v>
      </c>
      <c r="D313" t="s">
        <v>34</v>
      </c>
      <c r="E313" t="s">
        <v>13</v>
      </c>
      <c r="F313">
        <v>8</v>
      </c>
      <c r="G313">
        <v>3000</v>
      </c>
      <c r="H313">
        <v>24000</v>
      </c>
      <c r="I313">
        <v>19440</v>
      </c>
      <c r="J313">
        <v>4560</v>
      </c>
      <c r="K313" t="str">
        <f>TEXT(B313,"mmm")</f>
        <v>Apr</v>
      </c>
    </row>
    <row r="314" spans="1:11" x14ac:dyDescent="0.25">
      <c r="A314" t="s">
        <v>252</v>
      </c>
      <c r="B314" s="4">
        <v>46160</v>
      </c>
      <c r="C314" t="s">
        <v>27</v>
      </c>
      <c r="D314" t="s">
        <v>34</v>
      </c>
      <c r="E314" t="s">
        <v>13</v>
      </c>
      <c r="F314">
        <v>8</v>
      </c>
      <c r="G314">
        <v>3000</v>
      </c>
      <c r="H314">
        <v>24000</v>
      </c>
      <c r="I314">
        <v>18960</v>
      </c>
      <c r="J314">
        <v>5040</v>
      </c>
      <c r="K314" t="str">
        <f>TEXT(B314,"mmm")</f>
        <v>May</v>
      </c>
    </row>
    <row r="315" spans="1:11" x14ac:dyDescent="0.25">
      <c r="A315" t="s">
        <v>281</v>
      </c>
      <c r="B315" s="4">
        <v>46189</v>
      </c>
      <c r="C315" t="s">
        <v>19</v>
      </c>
      <c r="D315" t="s">
        <v>34</v>
      </c>
      <c r="E315" t="s">
        <v>13</v>
      </c>
      <c r="F315">
        <v>8</v>
      </c>
      <c r="G315">
        <v>3000</v>
      </c>
      <c r="H315">
        <v>24000</v>
      </c>
      <c r="I315">
        <v>18720</v>
      </c>
      <c r="J315">
        <v>5280</v>
      </c>
      <c r="K315" t="str">
        <f>TEXT(B315,"mmm")</f>
        <v>Jun</v>
      </c>
    </row>
    <row r="316" spans="1:11" x14ac:dyDescent="0.25">
      <c r="A316" t="s">
        <v>332</v>
      </c>
      <c r="B316" s="4">
        <v>46240</v>
      </c>
      <c r="C316" t="s">
        <v>15</v>
      </c>
      <c r="D316" t="s">
        <v>34</v>
      </c>
      <c r="E316" t="s">
        <v>13</v>
      </c>
      <c r="F316">
        <v>8</v>
      </c>
      <c r="G316">
        <v>3000</v>
      </c>
      <c r="H316">
        <v>24000</v>
      </c>
      <c r="I316">
        <v>18480</v>
      </c>
      <c r="J316">
        <v>5520</v>
      </c>
      <c r="K316" t="str">
        <f>TEXT(B316,"mmm")</f>
        <v>Aug</v>
      </c>
    </row>
    <row r="317" spans="1:11" x14ac:dyDescent="0.25">
      <c r="A317" t="s">
        <v>337</v>
      </c>
      <c r="B317" s="4">
        <v>46245</v>
      </c>
      <c r="C317" t="s">
        <v>19</v>
      </c>
      <c r="D317" t="s">
        <v>49</v>
      </c>
      <c r="E317" t="s">
        <v>24</v>
      </c>
      <c r="F317">
        <v>3</v>
      </c>
      <c r="G317">
        <v>8000</v>
      </c>
      <c r="H317">
        <v>24000</v>
      </c>
      <c r="I317">
        <v>19440</v>
      </c>
      <c r="J317">
        <v>4560</v>
      </c>
      <c r="K317" t="str">
        <f>TEXT(B317,"mmm")</f>
        <v>Aug</v>
      </c>
    </row>
    <row r="318" spans="1:11" x14ac:dyDescent="0.25">
      <c r="A318" t="s">
        <v>345</v>
      </c>
      <c r="B318" s="4">
        <v>46253</v>
      </c>
      <c r="C318" t="s">
        <v>19</v>
      </c>
      <c r="D318" t="s">
        <v>34</v>
      </c>
      <c r="E318" t="s">
        <v>13</v>
      </c>
      <c r="F318">
        <v>8</v>
      </c>
      <c r="G318">
        <v>3000</v>
      </c>
      <c r="H318">
        <v>24000</v>
      </c>
      <c r="I318">
        <v>16080</v>
      </c>
      <c r="J318">
        <v>7920</v>
      </c>
      <c r="K318" t="str">
        <f>TEXT(B318,"mmm")</f>
        <v>Aug</v>
      </c>
    </row>
    <row r="319" spans="1:11" x14ac:dyDescent="0.25">
      <c r="A319" t="s">
        <v>375</v>
      </c>
      <c r="B319" s="4">
        <v>46283</v>
      </c>
      <c r="C319" t="s">
        <v>15</v>
      </c>
      <c r="D319" t="s">
        <v>34</v>
      </c>
      <c r="E319" t="s">
        <v>13</v>
      </c>
      <c r="F319">
        <v>8</v>
      </c>
      <c r="G319">
        <v>3000</v>
      </c>
      <c r="H319">
        <v>24000</v>
      </c>
      <c r="I319">
        <v>18240</v>
      </c>
      <c r="J319">
        <v>5760</v>
      </c>
      <c r="K319" t="str">
        <f>TEXT(B319,"mmm")</f>
        <v>Sep</v>
      </c>
    </row>
    <row r="320" spans="1:11" x14ac:dyDescent="0.25">
      <c r="A320" t="s">
        <v>446</v>
      </c>
      <c r="B320" s="4">
        <v>46354</v>
      </c>
      <c r="C320" t="s">
        <v>27</v>
      </c>
      <c r="D320" t="s">
        <v>49</v>
      </c>
      <c r="E320" t="s">
        <v>24</v>
      </c>
      <c r="F320">
        <v>3</v>
      </c>
      <c r="G320">
        <v>8000</v>
      </c>
      <c r="H320">
        <v>24000</v>
      </c>
      <c r="I320">
        <v>17280</v>
      </c>
      <c r="J320">
        <v>6720</v>
      </c>
      <c r="K320" t="str">
        <f>TEXT(B320,"mmm")</f>
        <v>Nov</v>
      </c>
    </row>
    <row r="321" spans="1:11" x14ac:dyDescent="0.25">
      <c r="A321" t="s">
        <v>33</v>
      </c>
      <c r="B321" s="4">
        <v>45944</v>
      </c>
      <c r="C321" t="s">
        <v>27</v>
      </c>
      <c r="D321" t="s">
        <v>34</v>
      </c>
      <c r="E321" t="s">
        <v>13</v>
      </c>
      <c r="F321">
        <v>7</v>
      </c>
      <c r="G321">
        <v>3000</v>
      </c>
      <c r="H321">
        <v>21000</v>
      </c>
      <c r="I321">
        <v>16800</v>
      </c>
      <c r="J321">
        <v>4200</v>
      </c>
      <c r="K321" t="str">
        <f>TEXT(B321,"mmm")</f>
        <v>Oct</v>
      </c>
    </row>
    <row r="322" spans="1:11" x14ac:dyDescent="0.25">
      <c r="A322" t="s">
        <v>85</v>
      </c>
      <c r="B322" s="4">
        <v>45993</v>
      </c>
      <c r="C322" t="s">
        <v>27</v>
      </c>
      <c r="D322" t="s">
        <v>34</v>
      </c>
      <c r="E322" t="s">
        <v>13</v>
      </c>
      <c r="F322">
        <v>7</v>
      </c>
      <c r="G322">
        <v>3000</v>
      </c>
      <c r="H322">
        <v>21000</v>
      </c>
      <c r="I322">
        <v>13650</v>
      </c>
      <c r="J322">
        <v>7350</v>
      </c>
      <c r="K322" t="str">
        <f>TEXT(B322,"mmm")</f>
        <v>Dec</v>
      </c>
    </row>
    <row r="323" spans="1:11" x14ac:dyDescent="0.25">
      <c r="A323" t="s">
        <v>104</v>
      </c>
      <c r="B323" s="4">
        <v>46012</v>
      </c>
      <c r="C323" t="s">
        <v>19</v>
      </c>
      <c r="D323" t="s">
        <v>34</v>
      </c>
      <c r="E323" t="s">
        <v>13</v>
      </c>
      <c r="F323">
        <v>7</v>
      </c>
      <c r="G323">
        <v>3000</v>
      </c>
      <c r="H323">
        <v>21000</v>
      </c>
      <c r="I323">
        <v>14910</v>
      </c>
      <c r="J323">
        <v>6090</v>
      </c>
      <c r="K323" t="str">
        <f>TEXT(B323,"mmm")</f>
        <v>Dec</v>
      </c>
    </row>
    <row r="324" spans="1:11" x14ac:dyDescent="0.25">
      <c r="A324" t="s">
        <v>207</v>
      </c>
      <c r="B324" s="4">
        <v>46115</v>
      </c>
      <c r="C324" t="s">
        <v>11</v>
      </c>
      <c r="D324" t="s">
        <v>34</v>
      </c>
      <c r="E324" t="s">
        <v>13</v>
      </c>
      <c r="F324">
        <v>7</v>
      </c>
      <c r="G324">
        <v>3000</v>
      </c>
      <c r="H324">
        <v>21000</v>
      </c>
      <c r="I324">
        <v>15960</v>
      </c>
      <c r="J324">
        <v>5040</v>
      </c>
      <c r="K324" t="str">
        <f>TEXT(B324,"mmm")</f>
        <v>Apr</v>
      </c>
    </row>
    <row r="325" spans="1:11" x14ac:dyDescent="0.25">
      <c r="A325" t="s">
        <v>274</v>
      </c>
      <c r="B325" s="4">
        <v>46182</v>
      </c>
      <c r="C325" t="s">
        <v>15</v>
      </c>
      <c r="D325" t="s">
        <v>34</v>
      </c>
      <c r="E325" t="s">
        <v>13</v>
      </c>
      <c r="F325">
        <v>7</v>
      </c>
      <c r="G325">
        <v>3000</v>
      </c>
      <c r="H325">
        <v>21000</v>
      </c>
      <c r="I325">
        <v>17640</v>
      </c>
      <c r="J325">
        <v>3360</v>
      </c>
      <c r="K325" t="str">
        <f>TEXT(B325,"mmm")</f>
        <v>Jun</v>
      </c>
    </row>
    <row r="326" spans="1:11" x14ac:dyDescent="0.25">
      <c r="A326" t="s">
        <v>368</v>
      </c>
      <c r="B326" s="4">
        <v>46276</v>
      </c>
      <c r="C326" t="s">
        <v>15</v>
      </c>
      <c r="D326" t="s">
        <v>34</v>
      </c>
      <c r="E326" t="s">
        <v>13</v>
      </c>
      <c r="F326">
        <v>7</v>
      </c>
      <c r="G326">
        <v>3000</v>
      </c>
      <c r="H326">
        <v>21000</v>
      </c>
      <c r="I326">
        <v>14280</v>
      </c>
      <c r="J326">
        <v>6720</v>
      </c>
      <c r="K326" t="str">
        <f>TEXT(B326,"mmm")</f>
        <v>Sep</v>
      </c>
    </row>
    <row r="327" spans="1:11" x14ac:dyDescent="0.25">
      <c r="A327" t="s">
        <v>378</v>
      </c>
      <c r="B327" s="4">
        <v>46286</v>
      </c>
      <c r="C327" t="s">
        <v>19</v>
      </c>
      <c r="D327" t="s">
        <v>34</v>
      </c>
      <c r="E327" t="s">
        <v>13</v>
      </c>
      <c r="F327">
        <v>7</v>
      </c>
      <c r="G327">
        <v>3000</v>
      </c>
      <c r="H327">
        <v>21000</v>
      </c>
      <c r="I327">
        <v>15330</v>
      </c>
      <c r="J327">
        <v>5670</v>
      </c>
      <c r="K327" t="str">
        <f>TEXT(B327,"mmm")</f>
        <v>Sep</v>
      </c>
    </row>
    <row r="328" spans="1:11" x14ac:dyDescent="0.25">
      <c r="A328" t="s">
        <v>438</v>
      </c>
      <c r="B328" s="4">
        <v>46346</v>
      </c>
      <c r="C328" t="s">
        <v>27</v>
      </c>
      <c r="D328" t="s">
        <v>34</v>
      </c>
      <c r="E328" t="s">
        <v>13</v>
      </c>
      <c r="F328">
        <v>7</v>
      </c>
      <c r="G328">
        <v>3000</v>
      </c>
      <c r="H328">
        <v>21000</v>
      </c>
      <c r="I328">
        <v>17220</v>
      </c>
      <c r="J328">
        <v>3780</v>
      </c>
      <c r="K328" t="str">
        <f>TEXT(B328,"mmm")</f>
        <v>Nov</v>
      </c>
    </row>
    <row r="329" spans="1:11" x14ac:dyDescent="0.25">
      <c r="A329" t="s">
        <v>485</v>
      </c>
      <c r="B329" s="4">
        <v>46393</v>
      </c>
      <c r="C329" t="s">
        <v>27</v>
      </c>
      <c r="D329" t="s">
        <v>34</v>
      </c>
      <c r="E329" t="s">
        <v>13</v>
      </c>
      <c r="F329">
        <v>7</v>
      </c>
      <c r="G329">
        <v>3000</v>
      </c>
      <c r="H329">
        <v>21000</v>
      </c>
      <c r="I329">
        <v>14490</v>
      </c>
      <c r="J329">
        <v>6510</v>
      </c>
      <c r="K329" t="str">
        <f>TEXT(B329,"mmm")</f>
        <v>Jan</v>
      </c>
    </row>
    <row r="330" spans="1:11" x14ac:dyDescent="0.25">
      <c r="A330" t="s">
        <v>515</v>
      </c>
      <c r="B330" s="4">
        <v>46423</v>
      </c>
      <c r="C330" t="s">
        <v>19</v>
      </c>
      <c r="D330" t="s">
        <v>34</v>
      </c>
      <c r="E330" t="s">
        <v>13</v>
      </c>
      <c r="F330">
        <v>7</v>
      </c>
      <c r="G330">
        <v>3000</v>
      </c>
      <c r="H330">
        <v>21000</v>
      </c>
      <c r="I330">
        <v>15960</v>
      </c>
      <c r="J330">
        <v>5040</v>
      </c>
      <c r="K330" t="str">
        <f>TEXT(B330,"mmm")</f>
        <v>Feb</v>
      </c>
    </row>
    <row r="331" spans="1:11" x14ac:dyDescent="0.25">
      <c r="A331" t="s">
        <v>46</v>
      </c>
      <c r="B331" s="4">
        <v>45955</v>
      </c>
      <c r="C331" t="s">
        <v>15</v>
      </c>
      <c r="D331" t="s">
        <v>36</v>
      </c>
      <c r="E331" t="s">
        <v>21</v>
      </c>
      <c r="F331">
        <v>2</v>
      </c>
      <c r="G331">
        <v>10000</v>
      </c>
      <c r="H331">
        <v>20000</v>
      </c>
      <c r="I331">
        <v>13200</v>
      </c>
      <c r="J331">
        <v>6800</v>
      </c>
      <c r="K331" t="str">
        <f>TEXT(B331,"mmm")</f>
        <v>Oct</v>
      </c>
    </row>
    <row r="332" spans="1:11" x14ac:dyDescent="0.25">
      <c r="A332" t="s">
        <v>108</v>
      </c>
      <c r="B332" s="4">
        <v>46016</v>
      </c>
      <c r="C332" t="s">
        <v>11</v>
      </c>
      <c r="D332" t="s">
        <v>20</v>
      </c>
      <c r="E332" t="s">
        <v>21</v>
      </c>
      <c r="F332">
        <v>4</v>
      </c>
      <c r="G332">
        <v>5000</v>
      </c>
      <c r="H332">
        <v>20000</v>
      </c>
      <c r="I332">
        <v>15400</v>
      </c>
      <c r="J332">
        <v>4600</v>
      </c>
      <c r="K332" t="str">
        <f>TEXT(B332,"mmm")</f>
        <v>Dec</v>
      </c>
    </row>
    <row r="333" spans="1:11" x14ac:dyDescent="0.25">
      <c r="A333" t="s">
        <v>116</v>
      </c>
      <c r="B333" s="4">
        <v>46024</v>
      </c>
      <c r="C333" t="s">
        <v>19</v>
      </c>
      <c r="D333" t="s">
        <v>36</v>
      </c>
      <c r="E333" t="s">
        <v>21</v>
      </c>
      <c r="F333">
        <v>2</v>
      </c>
      <c r="G333">
        <v>10000</v>
      </c>
      <c r="H333">
        <v>20000</v>
      </c>
      <c r="I333">
        <v>15800</v>
      </c>
      <c r="J333">
        <v>4200</v>
      </c>
      <c r="K333" t="str">
        <f>TEXT(B333,"mmm")</f>
        <v>Jan</v>
      </c>
    </row>
    <row r="334" spans="1:11" x14ac:dyDescent="0.25">
      <c r="A334" t="s">
        <v>177</v>
      </c>
      <c r="B334" s="4">
        <v>46085</v>
      </c>
      <c r="C334" t="s">
        <v>15</v>
      </c>
      <c r="D334" t="s">
        <v>20</v>
      </c>
      <c r="E334" t="s">
        <v>21</v>
      </c>
      <c r="F334">
        <v>4</v>
      </c>
      <c r="G334">
        <v>5000</v>
      </c>
      <c r="H334">
        <v>20000</v>
      </c>
      <c r="I334">
        <v>13400</v>
      </c>
      <c r="J334">
        <v>6600</v>
      </c>
      <c r="K334" t="str">
        <f>TEXT(B334,"mmm")</f>
        <v>Mar</v>
      </c>
    </row>
    <row r="335" spans="1:11" x14ac:dyDescent="0.25">
      <c r="A335" t="s">
        <v>196</v>
      </c>
      <c r="B335" s="4">
        <v>46104</v>
      </c>
      <c r="C335" t="s">
        <v>27</v>
      </c>
      <c r="D335" t="s">
        <v>36</v>
      </c>
      <c r="E335" t="s">
        <v>21</v>
      </c>
      <c r="F335">
        <v>2</v>
      </c>
      <c r="G335">
        <v>10000</v>
      </c>
      <c r="H335">
        <v>20000</v>
      </c>
      <c r="I335">
        <v>13800</v>
      </c>
      <c r="J335">
        <v>6200</v>
      </c>
      <c r="K335" t="str">
        <f>TEXT(B335,"mmm")</f>
        <v>Mar</v>
      </c>
    </row>
    <row r="336" spans="1:11" x14ac:dyDescent="0.25">
      <c r="A336" t="s">
        <v>212</v>
      </c>
      <c r="B336" s="4">
        <v>46120</v>
      </c>
      <c r="C336" t="s">
        <v>11</v>
      </c>
      <c r="D336" t="s">
        <v>12</v>
      </c>
      <c r="E336" t="s">
        <v>13</v>
      </c>
      <c r="F336">
        <v>1</v>
      </c>
      <c r="G336">
        <v>20000</v>
      </c>
      <c r="H336">
        <v>20000</v>
      </c>
      <c r="I336">
        <v>13200</v>
      </c>
      <c r="J336">
        <v>6800</v>
      </c>
      <c r="K336" t="str">
        <f>TEXT(B336,"mmm")</f>
        <v>Apr</v>
      </c>
    </row>
    <row r="337" spans="1:11" x14ac:dyDescent="0.25">
      <c r="A337" t="s">
        <v>227</v>
      </c>
      <c r="B337" s="4">
        <v>46135</v>
      </c>
      <c r="C337" t="s">
        <v>15</v>
      </c>
      <c r="D337" t="s">
        <v>36</v>
      </c>
      <c r="E337" t="s">
        <v>21</v>
      </c>
      <c r="F337">
        <v>2</v>
      </c>
      <c r="G337">
        <v>10000</v>
      </c>
      <c r="H337">
        <v>20000</v>
      </c>
      <c r="I337">
        <v>15400</v>
      </c>
      <c r="J337">
        <v>4600</v>
      </c>
      <c r="K337" t="str">
        <f>TEXT(B337,"mmm")</f>
        <v>Apr</v>
      </c>
    </row>
    <row r="338" spans="1:11" x14ac:dyDescent="0.25">
      <c r="A338" t="s">
        <v>251</v>
      </c>
      <c r="B338" s="4">
        <v>46159</v>
      </c>
      <c r="C338" t="s">
        <v>27</v>
      </c>
      <c r="D338" t="s">
        <v>36</v>
      </c>
      <c r="E338" t="s">
        <v>21</v>
      </c>
      <c r="F338">
        <v>2</v>
      </c>
      <c r="G338">
        <v>10000</v>
      </c>
      <c r="H338">
        <v>20000</v>
      </c>
      <c r="I338">
        <v>16200</v>
      </c>
      <c r="J338">
        <v>3800</v>
      </c>
      <c r="K338" t="str">
        <f>TEXT(B338,"mmm")</f>
        <v>May</v>
      </c>
    </row>
    <row r="339" spans="1:11" x14ac:dyDescent="0.25">
      <c r="A339" t="s">
        <v>287</v>
      </c>
      <c r="B339" s="4">
        <v>46195</v>
      </c>
      <c r="C339" t="s">
        <v>27</v>
      </c>
      <c r="D339" t="s">
        <v>36</v>
      </c>
      <c r="E339" t="s">
        <v>21</v>
      </c>
      <c r="F339">
        <v>2</v>
      </c>
      <c r="G339">
        <v>10000</v>
      </c>
      <c r="H339">
        <v>20000</v>
      </c>
      <c r="I339">
        <v>14400</v>
      </c>
      <c r="J339">
        <v>5600</v>
      </c>
      <c r="K339" t="str">
        <f>TEXT(B339,"mmm")</f>
        <v>Jun</v>
      </c>
    </row>
    <row r="340" spans="1:11" x14ac:dyDescent="0.25">
      <c r="A340" t="s">
        <v>291</v>
      </c>
      <c r="B340" s="4">
        <v>46199</v>
      </c>
      <c r="C340" t="s">
        <v>27</v>
      </c>
      <c r="D340" t="s">
        <v>36</v>
      </c>
      <c r="E340" t="s">
        <v>21</v>
      </c>
      <c r="F340">
        <v>2</v>
      </c>
      <c r="G340">
        <v>10000</v>
      </c>
      <c r="H340">
        <v>20000</v>
      </c>
      <c r="I340">
        <v>13400</v>
      </c>
      <c r="J340">
        <v>6600</v>
      </c>
      <c r="K340" t="str">
        <f>TEXT(B340,"mmm")</f>
        <v>Jun</v>
      </c>
    </row>
    <row r="341" spans="1:11" x14ac:dyDescent="0.25">
      <c r="A341" t="s">
        <v>299</v>
      </c>
      <c r="B341" s="4">
        <v>46207</v>
      </c>
      <c r="C341" t="s">
        <v>19</v>
      </c>
      <c r="D341" t="s">
        <v>36</v>
      </c>
      <c r="E341" t="s">
        <v>21</v>
      </c>
      <c r="F341">
        <v>2</v>
      </c>
      <c r="G341">
        <v>10000</v>
      </c>
      <c r="H341">
        <v>20000</v>
      </c>
      <c r="I341">
        <v>13600</v>
      </c>
      <c r="J341">
        <v>6400</v>
      </c>
      <c r="K341" t="str">
        <f>TEXT(B341,"mmm")</f>
        <v>Jul</v>
      </c>
    </row>
    <row r="342" spans="1:11" x14ac:dyDescent="0.25">
      <c r="A342" t="s">
        <v>343</v>
      </c>
      <c r="B342" s="4">
        <v>46251</v>
      </c>
      <c r="C342" t="s">
        <v>15</v>
      </c>
      <c r="D342" t="s">
        <v>20</v>
      </c>
      <c r="E342" t="s">
        <v>21</v>
      </c>
      <c r="F342">
        <v>4</v>
      </c>
      <c r="G342">
        <v>5000</v>
      </c>
      <c r="H342">
        <v>20000</v>
      </c>
      <c r="I342">
        <v>14200</v>
      </c>
      <c r="J342">
        <v>5800</v>
      </c>
      <c r="K342" t="str">
        <f>TEXT(B342,"mmm")</f>
        <v>Aug</v>
      </c>
    </row>
    <row r="343" spans="1:11" x14ac:dyDescent="0.25">
      <c r="A343" t="s">
        <v>351</v>
      </c>
      <c r="B343" s="4">
        <v>46259</v>
      </c>
      <c r="C343" t="s">
        <v>15</v>
      </c>
      <c r="D343" t="s">
        <v>20</v>
      </c>
      <c r="E343" t="s">
        <v>21</v>
      </c>
      <c r="F343">
        <v>4</v>
      </c>
      <c r="G343">
        <v>5000</v>
      </c>
      <c r="H343">
        <v>20000</v>
      </c>
      <c r="I343">
        <v>13600</v>
      </c>
      <c r="J343">
        <v>6400</v>
      </c>
      <c r="K343" t="str">
        <f>TEXT(B343,"mmm")</f>
        <v>Aug</v>
      </c>
    </row>
    <row r="344" spans="1:11" x14ac:dyDescent="0.25">
      <c r="A344" t="s">
        <v>374</v>
      </c>
      <c r="B344" s="4">
        <v>46282</v>
      </c>
      <c r="C344" t="s">
        <v>27</v>
      </c>
      <c r="D344" t="s">
        <v>36</v>
      </c>
      <c r="E344" t="s">
        <v>21</v>
      </c>
      <c r="F344">
        <v>2</v>
      </c>
      <c r="G344">
        <v>10000</v>
      </c>
      <c r="H344">
        <v>20000</v>
      </c>
      <c r="I344">
        <v>15200</v>
      </c>
      <c r="J344">
        <v>4800</v>
      </c>
      <c r="K344" t="str">
        <f>TEXT(B344,"mmm")</f>
        <v>Sep</v>
      </c>
    </row>
    <row r="345" spans="1:11" x14ac:dyDescent="0.25">
      <c r="A345" t="s">
        <v>434</v>
      </c>
      <c r="B345" s="4">
        <v>46342</v>
      </c>
      <c r="C345" t="s">
        <v>11</v>
      </c>
      <c r="D345" t="s">
        <v>20</v>
      </c>
      <c r="E345" t="s">
        <v>21</v>
      </c>
      <c r="F345">
        <v>4</v>
      </c>
      <c r="G345">
        <v>5000</v>
      </c>
      <c r="H345">
        <v>20000</v>
      </c>
      <c r="I345">
        <v>14400</v>
      </c>
      <c r="J345">
        <v>5600</v>
      </c>
      <c r="K345" t="str">
        <f>TEXT(B345,"mmm")</f>
        <v>Nov</v>
      </c>
    </row>
    <row r="346" spans="1:11" x14ac:dyDescent="0.25">
      <c r="A346" t="s">
        <v>55</v>
      </c>
      <c r="B346" s="4">
        <v>45963</v>
      </c>
      <c r="C346" t="s">
        <v>15</v>
      </c>
      <c r="D346" t="s">
        <v>34</v>
      </c>
      <c r="E346" t="s">
        <v>13</v>
      </c>
      <c r="F346">
        <v>6</v>
      </c>
      <c r="G346">
        <v>3000</v>
      </c>
      <c r="H346">
        <v>18000</v>
      </c>
      <c r="I346">
        <v>12600</v>
      </c>
      <c r="J346">
        <v>5400</v>
      </c>
      <c r="K346" t="str">
        <f>TEXT(B346,"mmm")</f>
        <v>Nov</v>
      </c>
    </row>
    <row r="347" spans="1:11" x14ac:dyDescent="0.25">
      <c r="A347" t="s">
        <v>77</v>
      </c>
      <c r="B347" s="4">
        <v>45985</v>
      </c>
      <c r="C347" t="s">
        <v>15</v>
      </c>
      <c r="D347" t="s">
        <v>34</v>
      </c>
      <c r="E347" t="s">
        <v>13</v>
      </c>
      <c r="F347">
        <v>6</v>
      </c>
      <c r="G347">
        <v>3000</v>
      </c>
      <c r="H347">
        <v>18000</v>
      </c>
      <c r="I347">
        <v>15120</v>
      </c>
      <c r="J347">
        <v>2880</v>
      </c>
      <c r="K347" t="str">
        <f>TEXT(B347,"mmm")</f>
        <v>Nov</v>
      </c>
    </row>
    <row r="348" spans="1:11" x14ac:dyDescent="0.25">
      <c r="A348" t="s">
        <v>141</v>
      </c>
      <c r="B348" s="4">
        <v>46049</v>
      </c>
      <c r="C348" t="s">
        <v>15</v>
      </c>
      <c r="D348" t="s">
        <v>34</v>
      </c>
      <c r="E348" t="s">
        <v>13</v>
      </c>
      <c r="F348">
        <v>6</v>
      </c>
      <c r="G348">
        <v>3000</v>
      </c>
      <c r="H348">
        <v>18000</v>
      </c>
      <c r="I348">
        <v>14940</v>
      </c>
      <c r="J348">
        <v>3060</v>
      </c>
      <c r="K348" t="str">
        <f>TEXT(B348,"mmm")</f>
        <v>Jan</v>
      </c>
    </row>
    <row r="349" spans="1:11" x14ac:dyDescent="0.25">
      <c r="A349" t="s">
        <v>153</v>
      </c>
      <c r="B349" s="4">
        <v>46061</v>
      </c>
      <c r="C349" t="s">
        <v>11</v>
      </c>
      <c r="D349" t="s">
        <v>34</v>
      </c>
      <c r="E349" t="s">
        <v>13</v>
      </c>
      <c r="F349">
        <v>6</v>
      </c>
      <c r="G349">
        <v>3000</v>
      </c>
      <c r="H349">
        <v>18000</v>
      </c>
      <c r="I349">
        <v>11880</v>
      </c>
      <c r="J349">
        <v>6120</v>
      </c>
      <c r="K349" t="str">
        <f>TEXT(B349,"mmm")</f>
        <v>Feb</v>
      </c>
    </row>
    <row r="350" spans="1:11" x14ac:dyDescent="0.25">
      <c r="A350" t="s">
        <v>168</v>
      </c>
      <c r="B350" s="4">
        <v>46076</v>
      </c>
      <c r="C350" t="s">
        <v>15</v>
      </c>
      <c r="D350" t="s">
        <v>34</v>
      </c>
      <c r="E350" t="s">
        <v>13</v>
      </c>
      <c r="F350">
        <v>6</v>
      </c>
      <c r="G350">
        <v>3000</v>
      </c>
      <c r="H350">
        <v>18000</v>
      </c>
      <c r="I350">
        <v>13140</v>
      </c>
      <c r="J350">
        <v>4860</v>
      </c>
      <c r="K350" t="str">
        <f>TEXT(B350,"mmm")</f>
        <v>Feb</v>
      </c>
    </row>
    <row r="351" spans="1:11" x14ac:dyDescent="0.25">
      <c r="A351" t="s">
        <v>253</v>
      </c>
      <c r="B351" s="4">
        <v>46161</v>
      </c>
      <c r="C351" t="s">
        <v>27</v>
      </c>
      <c r="D351" t="s">
        <v>34</v>
      </c>
      <c r="E351" t="s">
        <v>13</v>
      </c>
      <c r="F351">
        <v>6</v>
      </c>
      <c r="G351">
        <v>3000</v>
      </c>
      <c r="H351">
        <v>18000</v>
      </c>
      <c r="I351">
        <v>14040</v>
      </c>
      <c r="J351">
        <v>3960</v>
      </c>
      <c r="K351" t="str">
        <f>TEXT(B351,"mmm")</f>
        <v>May</v>
      </c>
    </row>
    <row r="352" spans="1:11" x14ac:dyDescent="0.25">
      <c r="A352" t="s">
        <v>440</v>
      </c>
      <c r="B352" s="4">
        <v>46348</v>
      </c>
      <c r="C352" t="s">
        <v>19</v>
      </c>
      <c r="D352" t="s">
        <v>34</v>
      </c>
      <c r="E352" t="s">
        <v>13</v>
      </c>
      <c r="F352">
        <v>6</v>
      </c>
      <c r="G352">
        <v>3000</v>
      </c>
      <c r="H352">
        <v>18000</v>
      </c>
      <c r="I352">
        <v>11880</v>
      </c>
      <c r="J352">
        <v>6120</v>
      </c>
      <c r="K352" t="str">
        <f>TEXT(B352,"mmm")</f>
        <v>Nov</v>
      </c>
    </row>
    <row r="353" spans="1:11" x14ac:dyDescent="0.25">
      <c r="A353" t="s">
        <v>449</v>
      </c>
      <c r="B353" s="4">
        <v>46357</v>
      </c>
      <c r="C353" t="s">
        <v>27</v>
      </c>
      <c r="D353" t="s">
        <v>34</v>
      </c>
      <c r="E353" t="s">
        <v>13</v>
      </c>
      <c r="F353">
        <v>6</v>
      </c>
      <c r="G353">
        <v>3000</v>
      </c>
      <c r="H353">
        <v>18000</v>
      </c>
      <c r="I353">
        <v>13320</v>
      </c>
      <c r="J353">
        <v>4680</v>
      </c>
      <c r="K353" t="str">
        <f>TEXT(B353,"mmm")</f>
        <v>Dec</v>
      </c>
    </row>
    <row r="354" spans="1:11" x14ac:dyDescent="0.25">
      <c r="A354" t="s">
        <v>522</v>
      </c>
      <c r="B354" s="4">
        <v>46430</v>
      </c>
      <c r="C354" t="s">
        <v>19</v>
      </c>
      <c r="D354" t="s">
        <v>34</v>
      </c>
      <c r="E354" t="s">
        <v>13</v>
      </c>
      <c r="F354">
        <v>6</v>
      </c>
      <c r="G354">
        <v>3000</v>
      </c>
      <c r="H354">
        <v>18000</v>
      </c>
      <c r="I354">
        <v>14940</v>
      </c>
      <c r="J354">
        <v>3060</v>
      </c>
      <c r="K354" t="str">
        <f>TEXT(B354,"mmm")</f>
        <v>Feb</v>
      </c>
    </row>
    <row r="355" spans="1:11" x14ac:dyDescent="0.25">
      <c r="A355" t="s">
        <v>96</v>
      </c>
      <c r="B355" s="4">
        <v>46004</v>
      </c>
      <c r="C355" t="s">
        <v>19</v>
      </c>
      <c r="D355" t="s">
        <v>49</v>
      </c>
      <c r="E355" t="s">
        <v>24</v>
      </c>
      <c r="F355">
        <v>2</v>
      </c>
      <c r="G355">
        <v>8000</v>
      </c>
      <c r="H355">
        <v>16000</v>
      </c>
      <c r="I355">
        <v>11680</v>
      </c>
      <c r="J355">
        <v>4320</v>
      </c>
      <c r="K355" t="str">
        <f>TEXT(B355,"mmm")</f>
        <v>Dec</v>
      </c>
    </row>
    <row r="356" spans="1:11" x14ac:dyDescent="0.25">
      <c r="A356" t="s">
        <v>293</v>
      </c>
      <c r="B356" s="4">
        <v>46201</v>
      </c>
      <c r="C356" t="s">
        <v>11</v>
      </c>
      <c r="D356" t="s">
        <v>49</v>
      </c>
      <c r="E356" t="s">
        <v>24</v>
      </c>
      <c r="F356">
        <v>2</v>
      </c>
      <c r="G356">
        <v>8000</v>
      </c>
      <c r="H356">
        <v>16000</v>
      </c>
      <c r="I356">
        <v>12800</v>
      </c>
      <c r="J356">
        <v>3200</v>
      </c>
      <c r="K356" t="str">
        <f>TEXT(B356,"mmm")</f>
        <v>Jun</v>
      </c>
    </row>
    <row r="357" spans="1:11" x14ac:dyDescent="0.25">
      <c r="A357" t="s">
        <v>336</v>
      </c>
      <c r="B357" s="4">
        <v>46244</v>
      </c>
      <c r="C357" t="s">
        <v>15</v>
      </c>
      <c r="D357" t="s">
        <v>49</v>
      </c>
      <c r="E357" t="s">
        <v>24</v>
      </c>
      <c r="F357">
        <v>2</v>
      </c>
      <c r="G357">
        <v>8000</v>
      </c>
      <c r="H357">
        <v>16000</v>
      </c>
      <c r="I357">
        <v>11840</v>
      </c>
      <c r="J357">
        <v>4160</v>
      </c>
      <c r="K357" t="str">
        <f>TEXT(B357,"mmm")</f>
        <v>Aug</v>
      </c>
    </row>
    <row r="358" spans="1:11" x14ac:dyDescent="0.25">
      <c r="A358" t="s">
        <v>338</v>
      </c>
      <c r="B358" s="4">
        <v>46246</v>
      </c>
      <c r="C358" t="s">
        <v>19</v>
      </c>
      <c r="D358" t="s">
        <v>49</v>
      </c>
      <c r="E358" t="s">
        <v>24</v>
      </c>
      <c r="F358">
        <v>2</v>
      </c>
      <c r="G358">
        <v>8000</v>
      </c>
      <c r="H358">
        <v>16000</v>
      </c>
      <c r="I358">
        <v>12960</v>
      </c>
      <c r="J358">
        <v>3040</v>
      </c>
      <c r="K358" t="str">
        <f>TEXT(B358,"mmm")</f>
        <v>Aug</v>
      </c>
    </row>
    <row r="359" spans="1:11" x14ac:dyDescent="0.25">
      <c r="A359" t="s">
        <v>357</v>
      </c>
      <c r="B359" s="4">
        <v>46265</v>
      </c>
      <c r="C359" t="s">
        <v>27</v>
      </c>
      <c r="D359" t="s">
        <v>49</v>
      </c>
      <c r="E359" t="s">
        <v>24</v>
      </c>
      <c r="F359">
        <v>2</v>
      </c>
      <c r="G359">
        <v>8000</v>
      </c>
      <c r="H359">
        <v>16000</v>
      </c>
      <c r="I359">
        <v>13440</v>
      </c>
      <c r="J359">
        <v>2560</v>
      </c>
      <c r="K359" t="str">
        <f>TEXT(B359,"mmm")</f>
        <v>Aug</v>
      </c>
    </row>
    <row r="360" spans="1:11" x14ac:dyDescent="0.25">
      <c r="A360" t="s">
        <v>405</v>
      </c>
      <c r="B360" s="4">
        <v>46313</v>
      </c>
      <c r="C360" t="s">
        <v>27</v>
      </c>
      <c r="D360" t="s">
        <v>49</v>
      </c>
      <c r="E360" t="s">
        <v>24</v>
      </c>
      <c r="F360">
        <v>2</v>
      </c>
      <c r="G360">
        <v>8000</v>
      </c>
      <c r="H360">
        <v>16000</v>
      </c>
      <c r="I360">
        <v>12480</v>
      </c>
      <c r="J360">
        <v>3520</v>
      </c>
      <c r="K360" t="str">
        <f>TEXT(B360,"mmm")</f>
        <v>Oct</v>
      </c>
    </row>
    <row r="361" spans="1:11" x14ac:dyDescent="0.25">
      <c r="A361" t="s">
        <v>429</v>
      </c>
      <c r="B361" s="4">
        <v>46337</v>
      </c>
      <c r="C361" t="s">
        <v>11</v>
      </c>
      <c r="D361" t="s">
        <v>49</v>
      </c>
      <c r="E361" t="s">
        <v>24</v>
      </c>
      <c r="F361">
        <v>2</v>
      </c>
      <c r="G361">
        <v>8000</v>
      </c>
      <c r="H361">
        <v>16000</v>
      </c>
      <c r="I361">
        <v>12800</v>
      </c>
      <c r="J361">
        <v>3200</v>
      </c>
      <c r="K361" t="str">
        <f>TEXT(B361,"mmm")</f>
        <v>Nov</v>
      </c>
    </row>
    <row r="362" spans="1:11" x14ac:dyDescent="0.25">
      <c r="A362" t="s">
        <v>463</v>
      </c>
      <c r="B362" s="4">
        <v>46371</v>
      </c>
      <c r="C362" t="s">
        <v>11</v>
      </c>
      <c r="D362" t="s">
        <v>49</v>
      </c>
      <c r="E362" t="s">
        <v>24</v>
      </c>
      <c r="F362">
        <v>2</v>
      </c>
      <c r="G362">
        <v>8000</v>
      </c>
      <c r="H362">
        <v>16000</v>
      </c>
      <c r="I362">
        <v>12960</v>
      </c>
      <c r="J362">
        <v>3040</v>
      </c>
      <c r="K362" t="str">
        <f>TEXT(B362,"mmm")</f>
        <v>Dec</v>
      </c>
    </row>
    <row r="363" spans="1:11" x14ac:dyDescent="0.25">
      <c r="A363" t="s">
        <v>14</v>
      </c>
      <c r="B363" s="4">
        <v>45934</v>
      </c>
      <c r="C363" t="s">
        <v>15</v>
      </c>
      <c r="D363" t="s">
        <v>16</v>
      </c>
      <c r="E363" t="s">
        <v>13</v>
      </c>
      <c r="F363">
        <v>1</v>
      </c>
      <c r="G363">
        <v>15000</v>
      </c>
      <c r="H363">
        <v>15000</v>
      </c>
      <c r="I363">
        <v>11400</v>
      </c>
      <c r="J363">
        <v>3600</v>
      </c>
      <c r="K363" t="str">
        <f>TEXT(B363,"mmm")</f>
        <v>Oct</v>
      </c>
    </row>
    <row r="364" spans="1:11" x14ac:dyDescent="0.25">
      <c r="A364" t="s">
        <v>18</v>
      </c>
      <c r="B364" s="4">
        <v>45936</v>
      </c>
      <c r="C364" t="s">
        <v>19</v>
      </c>
      <c r="D364" t="s">
        <v>20</v>
      </c>
      <c r="E364" t="s">
        <v>21</v>
      </c>
      <c r="F364">
        <v>3</v>
      </c>
      <c r="G364">
        <v>5000</v>
      </c>
      <c r="H364">
        <v>15000</v>
      </c>
      <c r="I364">
        <v>11400</v>
      </c>
      <c r="J364">
        <v>3600</v>
      </c>
      <c r="K364" t="str">
        <f>TEXT(B364,"mmm")</f>
        <v>Oct</v>
      </c>
    </row>
    <row r="365" spans="1:11" x14ac:dyDescent="0.25">
      <c r="A365" t="s">
        <v>47</v>
      </c>
      <c r="B365" s="4">
        <v>45956</v>
      </c>
      <c r="C365" t="s">
        <v>15</v>
      </c>
      <c r="D365" t="s">
        <v>16</v>
      </c>
      <c r="E365" t="s">
        <v>13</v>
      </c>
      <c r="F365">
        <v>1</v>
      </c>
      <c r="G365">
        <v>15000</v>
      </c>
      <c r="H365">
        <v>15000</v>
      </c>
      <c r="I365">
        <v>11250</v>
      </c>
      <c r="J365">
        <v>3750</v>
      </c>
      <c r="K365" t="str">
        <f>TEXT(B365,"mmm")</f>
        <v>Oct</v>
      </c>
    </row>
    <row r="366" spans="1:11" x14ac:dyDescent="0.25">
      <c r="A366" t="s">
        <v>63</v>
      </c>
      <c r="B366" s="4">
        <v>45971</v>
      </c>
      <c r="C366" t="s">
        <v>19</v>
      </c>
      <c r="D366" t="s">
        <v>20</v>
      </c>
      <c r="E366" t="s">
        <v>21</v>
      </c>
      <c r="F366">
        <v>3</v>
      </c>
      <c r="G366">
        <v>5000</v>
      </c>
      <c r="H366">
        <v>15000</v>
      </c>
      <c r="I366">
        <v>11100</v>
      </c>
      <c r="J366">
        <v>3900</v>
      </c>
      <c r="K366" t="str">
        <f>TEXT(B366,"mmm")</f>
        <v>Nov</v>
      </c>
    </row>
    <row r="367" spans="1:11" x14ac:dyDescent="0.25">
      <c r="A367" t="s">
        <v>75</v>
      </c>
      <c r="B367" s="4">
        <v>45983</v>
      </c>
      <c r="C367" t="s">
        <v>15</v>
      </c>
      <c r="D367" t="s">
        <v>16</v>
      </c>
      <c r="E367" t="s">
        <v>13</v>
      </c>
      <c r="F367">
        <v>1</v>
      </c>
      <c r="G367">
        <v>15000</v>
      </c>
      <c r="H367">
        <v>15000</v>
      </c>
      <c r="I367">
        <v>12000</v>
      </c>
      <c r="J367">
        <v>3000</v>
      </c>
      <c r="K367" t="str">
        <f>TEXT(B367,"mmm")</f>
        <v>Nov</v>
      </c>
    </row>
    <row r="368" spans="1:11" x14ac:dyDescent="0.25">
      <c r="A368" t="s">
        <v>129</v>
      </c>
      <c r="B368" s="4">
        <v>46037</v>
      </c>
      <c r="C368" t="s">
        <v>15</v>
      </c>
      <c r="D368" t="s">
        <v>20</v>
      </c>
      <c r="E368" t="s">
        <v>21</v>
      </c>
      <c r="F368">
        <v>3</v>
      </c>
      <c r="G368">
        <v>5000</v>
      </c>
      <c r="H368">
        <v>15000</v>
      </c>
      <c r="I368">
        <v>11100</v>
      </c>
      <c r="J368">
        <v>3900</v>
      </c>
      <c r="K368" t="str">
        <f>TEXT(B368,"mmm")</f>
        <v>Jan</v>
      </c>
    </row>
    <row r="369" spans="1:11" x14ac:dyDescent="0.25">
      <c r="A369" t="s">
        <v>147</v>
      </c>
      <c r="B369" s="4">
        <v>46055</v>
      </c>
      <c r="C369" t="s">
        <v>15</v>
      </c>
      <c r="D369" t="s">
        <v>34</v>
      </c>
      <c r="E369" t="s">
        <v>13</v>
      </c>
      <c r="F369">
        <v>5</v>
      </c>
      <c r="G369">
        <v>3000</v>
      </c>
      <c r="H369">
        <v>15000</v>
      </c>
      <c r="I369">
        <v>10950</v>
      </c>
      <c r="J369">
        <v>4050</v>
      </c>
      <c r="K369" t="str">
        <f>TEXT(B369,"mmm")</f>
        <v>Feb</v>
      </c>
    </row>
    <row r="370" spans="1:11" x14ac:dyDescent="0.25">
      <c r="A370" t="s">
        <v>149</v>
      </c>
      <c r="B370" s="4">
        <v>46057</v>
      </c>
      <c r="C370" t="s">
        <v>19</v>
      </c>
      <c r="D370" t="s">
        <v>20</v>
      </c>
      <c r="E370" t="s">
        <v>21</v>
      </c>
      <c r="F370">
        <v>3</v>
      </c>
      <c r="G370">
        <v>5000</v>
      </c>
      <c r="H370">
        <v>15000</v>
      </c>
      <c r="I370">
        <v>10650</v>
      </c>
      <c r="J370">
        <v>4350</v>
      </c>
      <c r="K370" t="str">
        <f>TEXT(B370,"mmm")</f>
        <v>Feb</v>
      </c>
    </row>
    <row r="371" spans="1:11" x14ac:dyDescent="0.25">
      <c r="A371" t="s">
        <v>194</v>
      </c>
      <c r="B371" s="4">
        <v>46102</v>
      </c>
      <c r="C371" t="s">
        <v>15</v>
      </c>
      <c r="D371" t="s">
        <v>20</v>
      </c>
      <c r="E371" t="s">
        <v>21</v>
      </c>
      <c r="F371">
        <v>3</v>
      </c>
      <c r="G371">
        <v>5000</v>
      </c>
      <c r="H371">
        <v>15000</v>
      </c>
      <c r="I371">
        <v>10950</v>
      </c>
      <c r="J371">
        <v>4050</v>
      </c>
      <c r="K371" t="str">
        <f>TEXT(B371,"mmm")</f>
        <v>Mar</v>
      </c>
    </row>
    <row r="372" spans="1:11" x14ac:dyDescent="0.25">
      <c r="A372" t="s">
        <v>202</v>
      </c>
      <c r="B372" s="4">
        <v>46110</v>
      </c>
      <c r="C372" t="s">
        <v>15</v>
      </c>
      <c r="D372" t="s">
        <v>34</v>
      </c>
      <c r="E372" t="s">
        <v>13</v>
      </c>
      <c r="F372">
        <v>5</v>
      </c>
      <c r="G372">
        <v>3000</v>
      </c>
      <c r="H372">
        <v>15000</v>
      </c>
      <c r="I372">
        <v>9750</v>
      </c>
      <c r="J372">
        <v>5250</v>
      </c>
      <c r="K372" t="str">
        <f>TEXT(B372,"mmm")</f>
        <v>Mar</v>
      </c>
    </row>
    <row r="373" spans="1:11" x14ac:dyDescent="0.25">
      <c r="A373" t="s">
        <v>210</v>
      </c>
      <c r="B373" s="4">
        <v>46118</v>
      </c>
      <c r="C373" t="s">
        <v>27</v>
      </c>
      <c r="D373" t="s">
        <v>34</v>
      </c>
      <c r="E373" t="s">
        <v>13</v>
      </c>
      <c r="F373">
        <v>5</v>
      </c>
      <c r="G373">
        <v>3000</v>
      </c>
      <c r="H373">
        <v>15000</v>
      </c>
      <c r="I373">
        <v>12750</v>
      </c>
      <c r="J373">
        <v>2250</v>
      </c>
      <c r="K373" t="str">
        <f>TEXT(B373,"mmm")</f>
        <v>Apr</v>
      </c>
    </row>
    <row r="374" spans="1:11" x14ac:dyDescent="0.25">
      <c r="A374" t="s">
        <v>241</v>
      </c>
      <c r="B374" s="4">
        <v>46149</v>
      </c>
      <c r="C374" t="s">
        <v>19</v>
      </c>
      <c r="D374" t="s">
        <v>16</v>
      </c>
      <c r="E374" t="s">
        <v>13</v>
      </c>
      <c r="F374">
        <v>1</v>
      </c>
      <c r="G374">
        <v>15000</v>
      </c>
      <c r="H374">
        <v>15000</v>
      </c>
      <c r="I374">
        <v>11400</v>
      </c>
      <c r="J374">
        <v>3600</v>
      </c>
      <c r="K374" t="str">
        <f>TEXT(B374,"mmm")</f>
        <v>May</v>
      </c>
    </row>
    <row r="375" spans="1:11" x14ac:dyDescent="0.25">
      <c r="A375" t="s">
        <v>269</v>
      </c>
      <c r="B375" s="4">
        <v>46177</v>
      </c>
      <c r="C375" t="s">
        <v>19</v>
      </c>
      <c r="D375" t="s">
        <v>16</v>
      </c>
      <c r="E375" t="s">
        <v>13</v>
      </c>
      <c r="F375">
        <v>1</v>
      </c>
      <c r="G375">
        <v>15000</v>
      </c>
      <c r="H375">
        <v>15000</v>
      </c>
      <c r="I375">
        <v>12750</v>
      </c>
      <c r="J375">
        <v>2250</v>
      </c>
      <c r="K375" t="str">
        <f>TEXT(B375,"mmm")</f>
        <v>Jun</v>
      </c>
    </row>
    <row r="376" spans="1:11" x14ac:dyDescent="0.25">
      <c r="A376" t="s">
        <v>335</v>
      </c>
      <c r="B376" s="4">
        <v>46243</v>
      </c>
      <c r="C376" t="s">
        <v>27</v>
      </c>
      <c r="D376" t="s">
        <v>20</v>
      </c>
      <c r="E376" t="s">
        <v>21</v>
      </c>
      <c r="F376">
        <v>3</v>
      </c>
      <c r="G376">
        <v>5000</v>
      </c>
      <c r="H376">
        <v>15000</v>
      </c>
      <c r="I376">
        <v>9750</v>
      </c>
      <c r="J376">
        <v>5250</v>
      </c>
      <c r="K376" t="str">
        <f>TEXT(B376,"mmm")</f>
        <v>Aug</v>
      </c>
    </row>
    <row r="377" spans="1:11" x14ac:dyDescent="0.25">
      <c r="A377" t="s">
        <v>362</v>
      </c>
      <c r="B377" s="4">
        <v>46270</v>
      </c>
      <c r="C377" t="s">
        <v>27</v>
      </c>
      <c r="D377" t="s">
        <v>20</v>
      </c>
      <c r="E377" t="s">
        <v>21</v>
      </c>
      <c r="F377">
        <v>3</v>
      </c>
      <c r="G377">
        <v>5000</v>
      </c>
      <c r="H377">
        <v>15000</v>
      </c>
      <c r="I377">
        <v>12600</v>
      </c>
      <c r="J377">
        <v>2400</v>
      </c>
      <c r="K377" t="str">
        <f>TEXT(B377,"mmm")</f>
        <v>Sep</v>
      </c>
    </row>
    <row r="378" spans="1:11" x14ac:dyDescent="0.25">
      <c r="A378" t="s">
        <v>363</v>
      </c>
      <c r="B378" s="4">
        <v>46271</v>
      </c>
      <c r="C378" t="s">
        <v>27</v>
      </c>
      <c r="D378" t="s">
        <v>16</v>
      </c>
      <c r="E378" t="s">
        <v>13</v>
      </c>
      <c r="F378">
        <v>1</v>
      </c>
      <c r="G378">
        <v>15000</v>
      </c>
      <c r="H378">
        <v>15000</v>
      </c>
      <c r="I378">
        <v>12150</v>
      </c>
      <c r="J378">
        <v>2850</v>
      </c>
      <c r="K378" t="str">
        <f>TEXT(B378,"mmm")</f>
        <v>Sep</v>
      </c>
    </row>
    <row r="379" spans="1:11" x14ac:dyDescent="0.25">
      <c r="A379" t="s">
        <v>436</v>
      </c>
      <c r="B379" s="4">
        <v>46344</v>
      </c>
      <c r="C379" t="s">
        <v>11</v>
      </c>
      <c r="D379" t="s">
        <v>20</v>
      </c>
      <c r="E379" t="s">
        <v>21</v>
      </c>
      <c r="F379">
        <v>3</v>
      </c>
      <c r="G379">
        <v>5000</v>
      </c>
      <c r="H379">
        <v>15000</v>
      </c>
      <c r="I379">
        <v>10800</v>
      </c>
      <c r="J379">
        <v>4200</v>
      </c>
      <c r="K379" t="str">
        <f>TEXT(B379,"mmm")</f>
        <v>Nov</v>
      </c>
    </row>
    <row r="380" spans="1:11" x14ac:dyDescent="0.25">
      <c r="A380" t="s">
        <v>437</v>
      </c>
      <c r="B380" s="4">
        <v>46345</v>
      </c>
      <c r="C380" t="s">
        <v>15</v>
      </c>
      <c r="D380" t="s">
        <v>16</v>
      </c>
      <c r="E380" t="s">
        <v>13</v>
      </c>
      <c r="F380">
        <v>1</v>
      </c>
      <c r="G380">
        <v>15000</v>
      </c>
      <c r="H380">
        <v>15000</v>
      </c>
      <c r="I380">
        <v>10650</v>
      </c>
      <c r="J380">
        <v>4350</v>
      </c>
      <c r="K380" t="str">
        <f>TEXT(B380,"mmm")</f>
        <v>Nov</v>
      </c>
    </row>
    <row r="381" spans="1:11" x14ac:dyDescent="0.25">
      <c r="A381" t="s">
        <v>445</v>
      </c>
      <c r="B381" s="4">
        <v>46353</v>
      </c>
      <c r="C381" t="s">
        <v>19</v>
      </c>
      <c r="D381" t="s">
        <v>34</v>
      </c>
      <c r="E381" t="s">
        <v>13</v>
      </c>
      <c r="F381">
        <v>5</v>
      </c>
      <c r="G381">
        <v>3000</v>
      </c>
      <c r="H381">
        <v>15000</v>
      </c>
      <c r="I381">
        <v>12300</v>
      </c>
      <c r="J381">
        <v>2700</v>
      </c>
      <c r="K381" t="str">
        <f>TEXT(B381,"mmm")</f>
        <v>Nov</v>
      </c>
    </row>
    <row r="382" spans="1:11" x14ac:dyDescent="0.25">
      <c r="A382" t="s">
        <v>486</v>
      </c>
      <c r="B382" s="4">
        <v>46394</v>
      </c>
      <c r="C382" t="s">
        <v>19</v>
      </c>
      <c r="D382" t="s">
        <v>20</v>
      </c>
      <c r="E382" t="s">
        <v>21</v>
      </c>
      <c r="F382">
        <v>3</v>
      </c>
      <c r="G382">
        <v>5000</v>
      </c>
      <c r="H382">
        <v>15000</v>
      </c>
      <c r="I382">
        <v>10950</v>
      </c>
      <c r="J382">
        <v>4050</v>
      </c>
      <c r="K382" t="str">
        <f>TEXT(B382,"mmm")</f>
        <v>Jan</v>
      </c>
    </row>
    <row r="383" spans="1:11" x14ac:dyDescent="0.25">
      <c r="A383" t="s">
        <v>500</v>
      </c>
      <c r="B383" s="4">
        <v>46408</v>
      </c>
      <c r="C383" t="s">
        <v>11</v>
      </c>
      <c r="D383" t="s">
        <v>20</v>
      </c>
      <c r="E383" t="s">
        <v>21</v>
      </c>
      <c r="F383">
        <v>3</v>
      </c>
      <c r="G383">
        <v>5000</v>
      </c>
      <c r="H383">
        <v>15000</v>
      </c>
      <c r="I383">
        <v>11100</v>
      </c>
      <c r="J383">
        <v>3900</v>
      </c>
      <c r="K383" t="str">
        <f>TEXT(B383,"mmm")</f>
        <v>Jan</v>
      </c>
    </row>
    <row r="384" spans="1:11" x14ac:dyDescent="0.25">
      <c r="A384" t="s">
        <v>514</v>
      </c>
      <c r="B384" s="4">
        <v>46422</v>
      </c>
      <c r="C384" t="s">
        <v>15</v>
      </c>
      <c r="D384" t="s">
        <v>20</v>
      </c>
      <c r="E384" t="s">
        <v>21</v>
      </c>
      <c r="F384">
        <v>3</v>
      </c>
      <c r="G384">
        <v>5000</v>
      </c>
      <c r="H384">
        <v>15000</v>
      </c>
      <c r="I384">
        <v>10050</v>
      </c>
      <c r="J384">
        <v>4950</v>
      </c>
      <c r="K384" t="str">
        <f>TEXT(B384,"mmm")</f>
        <v>Feb</v>
      </c>
    </row>
    <row r="385" spans="1:11" x14ac:dyDescent="0.25">
      <c r="A385" t="s">
        <v>61</v>
      </c>
      <c r="B385" s="4">
        <v>45969</v>
      </c>
      <c r="C385" t="s">
        <v>19</v>
      </c>
      <c r="D385" t="s">
        <v>34</v>
      </c>
      <c r="E385" t="s">
        <v>13</v>
      </c>
      <c r="F385">
        <v>4</v>
      </c>
      <c r="G385">
        <v>3000</v>
      </c>
      <c r="H385">
        <v>12000</v>
      </c>
      <c r="I385">
        <v>8760</v>
      </c>
      <c r="J385">
        <v>3240</v>
      </c>
      <c r="K385" t="str">
        <f>TEXT(B385,"mmm")</f>
        <v>Nov</v>
      </c>
    </row>
    <row r="386" spans="1:11" x14ac:dyDescent="0.25">
      <c r="A386" t="s">
        <v>93</v>
      </c>
      <c r="B386" s="4">
        <v>46001</v>
      </c>
      <c r="C386" t="s">
        <v>27</v>
      </c>
      <c r="D386" t="s">
        <v>34</v>
      </c>
      <c r="E386" t="s">
        <v>13</v>
      </c>
      <c r="F386">
        <v>4</v>
      </c>
      <c r="G386">
        <v>3000</v>
      </c>
      <c r="H386">
        <v>12000</v>
      </c>
      <c r="I386">
        <v>8640</v>
      </c>
      <c r="J386">
        <v>3360</v>
      </c>
      <c r="K386" t="str">
        <f>TEXT(B386,"mmm")</f>
        <v>Dec</v>
      </c>
    </row>
    <row r="387" spans="1:11" x14ac:dyDescent="0.25">
      <c r="A387" t="s">
        <v>98</v>
      </c>
      <c r="B387" s="4">
        <v>46006</v>
      </c>
      <c r="C387" t="s">
        <v>27</v>
      </c>
      <c r="D387" t="s">
        <v>34</v>
      </c>
      <c r="E387" t="s">
        <v>13</v>
      </c>
      <c r="F387">
        <v>4</v>
      </c>
      <c r="G387">
        <v>3000</v>
      </c>
      <c r="H387">
        <v>12000</v>
      </c>
      <c r="I387">
        <v>9240</v>
      </c>
      <c r="J387">
        <v>2760</v>
      </c>
      <c r="K387" t="str">
        <f>TEXT(B387,"mmm")</f>
        <v>Dec</v>
      </c>
    </row>
    <row r="388" spans="1:11" x14ac:dyDescent="0.25">
      <c r="A388" t="s">
        <v>142</v>
      </c>
      <c r="B388" s="4">
        <v>46050</v>
      </c>
      <c r="C388" t="s">
        <v>15</v>
      </c>
      <c r="D388" t="s">
        <v>34</v>
      </c>
      <c r="E388" t="s">
        <v>13</v>
      </c>
      <c r="F388">
        <v>4</v>
      </c>
      <c r="G388">
        <v>3000</v>
      </c>
      <c r="H388">
        <v>12000</v>
      </c>
      <c r="I388">
        <v>8640</v>
      </c>
      <c r="J388">
        <v>3360</v>
      </c>
      <c r="K388" t="str">
        <f>TEXT(B388,"mmm")</f>
        <v>Jan</v>
      </c>
    </row>
    <row r="389" spans="1:11" x14ac:dyDescent="0.25">
      <c r="A389" t="s">
        <v>267</v>
      </c>
      <c r="B389" s="4">
        <v>46175</v>
      </c>
      <c r="C389" t="s">
        <v>15</v>
      </c>
      <c r="D389" t="s">
        <v>34</v>
      </c>
      <c r="E389" t="s">
        <v>13</v>
      </c>
      <c r="F389">
        <v>4</v>
      </c>
      <c r="G389">
        <v>3000</v>
      </c>
      <c r="H389">
        <v>12000</v>
      </c>
      <c r="I389">
        <v>7920</v>
      </c>
      <c r="J389">
        <v>4080</v>
      </c>
      <c r="K389" t="str">
        <f>TEXT(B389,"mmm")</f>
        <v>Jun</v>
      </c>
    </row>
    <row r="390" spans="1:11" x14ac:dyDescent="0.25">
      <c r="A390" t="s">
        <v>279</v>
      </c>
      <c r="B390" s="4">
        <v>46187</v>
      </c>
      <c r="C390" t="s">
        <v>27</v>
      </c>
      <c r="D390" t="s">
        <v>34</v>
      </c>
      <c r="E390" t="s">
        <v>13</v>
      </c>
      <c r="F390">
        <v>4</v>
      </c>
      <c r="G390">
        <v>3000</v>
      </c>
      <c r="H390">
        <v>12000</v>
      </c>
      <c r="I390">
        <v>9240</v>
      </c>
      <c r="J390">
        <v>2760</v>
      </c>
      <c r="K390" t="str">
        <f>TEXT(B390,"mmm")</f>
        <v>Jun</v>
      </c>
    </row>
    <row r="391" spans="1:11" x14ac:dyDescent="0.25">
      <c r="A391" t="s">
        <v>158</v>
      </c>
      <c r="B391" s="4">
        <v>46066</v>
      </c>
      <c r="C391" t="s">
        <v>19</v>
      </c>
      <c r="D391" t="s">
        <v>20</v>
      </c>
      <c r="E391" t="s">
        <v>21</v>
      </c>
      <c r="F391">
        <v>2</v>
      </c>
      <c r="G391">
        <v>5000</v>
      </c>
      <c r="H391">
        <v>10000</v>
      </c>
      <c r="I391">
        <v>6500</v>
      </c>
      <c r="J391">
        <v>3500</v>
      </c>
      <c r="K391" t="str">
        <f>TEXT(B391,"mmm")</f>
        <v>Feb</v>
      </c>
    </row>
    <row r="392" spans="1:11" x14ac:dyDescent="0.25">
      <c r="A392" t="s">
        <v>259</v>
      </c>
      <c r="B392" s="4">
        <v>46167</v>
      </c>
      <c r="C392" t="s">
        <v>27</v>
      </c>
      <c r="D392" t="s">
        <v>20</v>
      </c>
      <c r="E392" t="s">
        <v>21</v>
      </c>
      <c r="F392">
        <v>2</v>
      </c>
      <c r="G392">
        <v>5000</v>
      </c>
      <c r="H392">
        <v>10000</v>
      </c>
      <c r="I392">
        <v>7700</v>
      </c>
      <c r="J392">
        <v>2300</v>
      </c>
      <c r="K392" t="str">
        <f>TEXT(B392,"mmm")</f>
        <v>May</v>
      </c>
    </row>
    <row r="393" spans="1:11" x14ac:dyDescent="0.25">
      <c r="A393" t="s">
        <v>262</v>
      </c>
      <c r="B393" s="4">
        <v>46170</v>
      </c>
      <c r="C393" t="s">
        <v>11</v>
      </c>
      <c r="D393" t="s">
        <v>36</v>
      </c>
      <c r="E393" t="s">
        <v>21</v>
      </c>
      <c r="F393">
        <v>1</v>
      </c>
      <c r="G393">
        <v>10000</v>
      </c>
      <c r="H393">
        <v>10000</v>
      </c>
      <c r="I393">
        <v>7800</v>
      </c>
      <c r="J393">
        <v>2200</v>
      </c>
      <c r="K393" t="str">
        <f>TEXT(B393,"mmm")</f>
        <v>May</v>
      </c>
    </row>
    <row r="394" spans="1:11" x14ac:dyDescent="0.25">
      <c r="A394" t="s">
        <v>320</v>
      </c>
      <c r="B394" s="4">
        <v>46228</v>
      </c>
      <c r="C394" t="s">
        <v>19</v>
      </c>
      <c r="D394" t="s">
        <v>20</v>
      </c>
      <c r="E394" t="s">
        <v>21</v>
      </c>
      <c r="F394">
        <v>2</v>
      </c>
      <c r="G394">
        <v>5000</v>
      </c>
      <c r="H394">
        <v>10000</v>
      </c>
      <c r="I394">
        <v>8000</v>
      </c>
      <c r="J394">
        <v>2000</v>
      </c>
      <c r="K394" t="str">
        <f>TEXT(B394,"mmm")</f>
        <v>Jul</v>
      </c>
    </row>
    <row r="395" spans="1:11" x14ac:dyDescent="0.25">
      <c r="A395" t="s">
        <v>420</v>
      </c>
      <c r="B395" s="4">
        <v>46328</v>
      </c>
      <c r="C395" t="s">
        <v>19</v>
      </c>
      <c r="D395" t="s">
        <v>20</v>
      </c>
      <c r="E395" t="s">
        <v>21</v>
      </c>
      <c r="F395">
        <v>2</v>
      </c>
      <c r="G395">
        <v>5000</v>
      </c>
      <c r="H395">
        <v>10000</v>
      </c>
      <c r="I395">
        <v>7800</v>
      </c>
      <c r="J395">
        <v>2200</v>
      </c>
      <c r="K395" t="str">
        <f>TEXT(B395,"mmm")</f>
        <v>Nov</v>
      </c>
    </row>
    <row r="396" spans="1:11" x14ac:dyDescent="0.25">
      <c r="A396" t="s">
        <v>460</v>
      </c>
      <c r="B396" s="4">
        <v>46368</v>
      </c>
      <c r="C396" t="s">
        <v>27</v>
      </c>
      <c r="D396" t="s">
        <v>36</v>
      </c>
      <c r="E396" t="s">
        <v>21</v>
      </c>
      <c r="F396">
        <v>1</v>
      </c>
      <c r="G396">
        <v>10000</v>
      </c>
      <c r="H396">
        <v>10000</v>
      </c>
      <c r="I396">
        <v>6700</v>
      </c>
      <c r="J396">
        <v>3300</v>
      </c>
      <c r="K396" t="str">
        <f>TEXT(B396,"mmm")</f>
        <v>Dec</v>
      </c>
    </row>
    <row r="397" spans="1:11" x14ac:dyDescent="0.25">
      <c r="A397" t="s">
        <v>466</v>
      </c>
      <c r="B397" s="4">
        <v>46374</v>
      </c>
      <c r="C397" t="s">
        <v>19</v>
      </c>
      <c r="D397" t="s">
        <v>36</v>
      </c>
      <c r="E397" t="s">
        <v>21</v>
      </c>
      <c r="F397">
        <v>1</v>
      </c>
      <c r="G397">
        <v>10000</v>
      </c>
      <c r="H397">
        <v>10000</v>
      </c>
      <c r="I397">
        <v>8400</v>
      </c>
      <c r="J397">
        <v>1600</v>
      </c>
      <c r="K397" t="str">
        <f>TEXT(B397,"mmm")</f>
        <v>Dec</v>
      </c>
    </row>
    <row r="398" spans="1:11" x14ac:dyDescent="0.25">
      <c r="A398" t="s">
        <v>478</v>
      </c>
      <c r="B398" s="4">
        <v>46386</v>
      </c>
      <c r="C398" t="s">
        <v>15</v>
      </c>
      <c r="D398" t="s">
        <v>36</v>
      </c>
      <c r="E398" t="s">
        <v>21</v>
      </c>
      <c r="F398">
        <v>1</v>
      </c>
      <c r="G398">
        <v>10000</v>
      </c>
      <c r="H398">
        <v>10000</v>
      </c>
      <c r="I398">
        <v>6800</v>
      </c>
      <c r="J398">
        <v>3200</v>
      </c>
      <c r="K398" t="str">
        <f>TEXT(B398,"mmm")</f>
        <v>Dec</v>
      </c>
    </row>
    <row r="399" spans="1:11" x14ac:dyDescent="0.25">
      <c r="A399" t="s">
        <v>43</v>
      </c>
      <c r="B399" s="4">
        <v>45952</v>
      </c>
      <c r="C399" t="s">
        <v>11</v>
      </c>
      <c r="D399" t="s">
        <v>34</v>
      </c>
      <c r="E399" t="s">
        <v>13</v>
      </c>
      <c r="F399">
        <v>3</v>
      </c>
      <c r="G399">
        <v>3000</v>
      </c>
      <c r="H399">
        <v>9000</v>
      </c>
      <c r="I399">
        <v>6210</v>
      </c>
      <c r="J399">
        <v>2790</v>
      </c>
      <c r="K399" t="str">
        <f>TEXT(B399,"mmm")</f>
        <v>Oct</v>
      </c>
    </row>
    <row r="400" spans="1:11" x14ac:dyDescent="0.25">
      <c r="A400" t="s">
        <v>220</v>
      </c>
      <c r="B400" s="4">
        <v>46128</v>
      </c>
      <c r="C400" t="s">
        <v>15</v>
      </c>
      <c r="D400" t="s">
        <v>34</v>
      </c>
      <c r="E400" t="s">
        <v>13</v>
      </c>
      <c r="F400">
        <v>3</v>
      </c>
      <c r="G400">
        <v>3000</v>
      </c>
      <c r="H400">
        <v>9000</v>
      </c>
      <c r="I400">
        <v>7020</v>
      </c>
      <c r="J400">
        <v>1980</v>
      </c>
      <c r="K400" t="str">
        <f>TEXT(B400,"mmm")</f>
        <v>Apr</v>
      </c>
    </row>
    <row r="401" spans="1:11" x14ac:dyDescent="0.25">
      <c r="A401" t="s">
        <v>228</v>
      </c>
      <c r="B401" s="4">
        <v>46136</v>
      </c>
      <c r="C401" t="s">
        <v>19</v>
      </c>
      <c r="D401" t="s">
        <v>34</v>
      </c>
      <c r="E401" t="s">
        <v>13</v>
      </c>
      <c r="F401">
        <v>3</v>
      </c>
      <c r="G401">
        <v>3000</v>
      </c>
      <c r="H401">
        <v>9000</v>
      </c>
      <c r="I401">
        <v>6660</v>
      </c>
      <c r="J401">
        <v>2340</v>
      </c>
      <c r="K401" t="str">
        <f>TEXT(B401,"mmm")</f>
        <v>Apr</v>
      </c>
    </row>
    <row r="402" spans="1:11" x14ac:dyDescent="0.25">
      <c r="A402" t="s">
        <v>464</v>
      </c>
      <c r="B402" s="4">
        <v>46372</v>
      </c>
      <c r="C402" t="s">
        <v>15</v>
      </c>
      <c r="D402" t="s">
        <v>34</v>
      </c>
      <c r="E402" t="s">
        <v>13</v>
      </c>
      <c r="F402">
        <v>3</v>
      </c>
      <c r="G402">
        <v>3000</v>
      </c>
      <c r="H402">
        <v>9000</v>
      </c>
      <c r="I402">
        <v>7470</v>
      </c>
      <c r="J402">
        <v>1530</v>
      </c>
      <c r="K402" t="str">
        <f>TEXT(B402,"mmm")</f>
        <v>Dec</v>
      </c>
    </row>
    <row r="403" spans="1:11" x14ac:dyDescent="0.25">
      <c r="A403" t="s">
        <v>505</v>
      </c>
      <c r="B403" s="4">
        <v>46413</v>
      </c>
      <c r="C403" t="s">
        <v>11</v>
      </c>
      <c r="D403" t="s">
        <v>34</v>
      </c>
      <c r="E403" t="s">
        <v>13</v>
      </c>
      <c r="F403">
        <v>3</v>
      </c>
      <c r="G403">
        <v>3000</v>
      </c>
      <c r="H403">
        <v>9000</v>
      </c>
      <c r="I403">
        <v>6480</v>
      </c>
      <c r="J403">
        <v>2520</v>
      </c>
      <c r="K403" t="str">
        <f>TEXT(B403,"mmm")</f>
        <v>Jan</v>
      </c>
    </row>
    <row r="404" spans="1:11" x14ac:dyDescent="0.25">
      <c r="A404" t="s">
        <v>521</v>
      </c>
      <c r="B404" s="4">
        <v>46429</v>
      </c>
      <c r="C404" t="s">
        <v>11</v>
      </c>
      <c r="D404" t="s">
        <v>34</v>
      </c>
      <c r="E404" t="s">
        <v>13</v>
      </c>
      <c r="F404">
        <v>3</v>
      </c>
      <c r="G404">
        <v>3000</v>
      </c>
      <c r="H404">
        <v>9000</v>
      </c>
      <c r="I404">
        <v>6480</v>
      </c>
      <c r="J404">
        <v>2520</v>
      </c>
      <c r="K404" t="str">
        <f>TEXT(B404,"mmm")</f>
        <v>Feb</v>
      </c>
    </row>
    <row r="405" spans="1:11" x14ac:dyDescent="0.25">
      <c r="A405" t="s">
        <v>48</v>
      </c>
      <c r="B405" s="4">
        <v>45957</v>
      </c>
      <c r="C405" t="s">
        <v>15</v>
      </c>
      <c r="D405" t="s">
        <v>49</v>
      </c>
      <c r="E405" t="s">
        <v>24</v>
      </c>
      <c r="F405">
        <v>1</v>
      </c>
      <c r="G405">
        <v>8000</v>
      </c>
      <c r="H405">
        <v>8000</v>
      </c>
      <c r="I405">
        <v>5280</v>
      </c>
      <c r="J405">
        <v>2720</v>
      </c>
      <c r="K405" t="str">
        <f>TEXT(B405,"mmm")</f>
        <v>Oct</v>
      </c>
    </row>
    <row r="406" spans="1:11" x14ac:dyDescent="0.25">
      <c r="A406" t="s">
        <v>325</v>
      </c>
      <c r="B406" s="4">
        <v>46233</v>
      </c>
      <c r="C406" t="s">
        <v>27</v>
      </c>
      <c r="D406" t="s">
        <v>49</v>
      </c>
      <c r="E406" t="s">
        <v>24</v>
      </c>
      <c r="F406">
        <v>1</v>
      </c>
      <c r="G406">
        <v>8000</v>
      </c>
      <c r="H406">
        <v>8000</v>
      </c>
      <c r="I406">
        <v>5360</v>
      </c>
      <c r="J406">
        <v>2640</v>
      </c>
      <c r="K406" t="str">
        <f>TEXT(B406,"mmm")</f>
        <v>Jul</v>
      </c>
    </row>
    <row r="407" spans="1:11" x14ac:dyDescent="0.25">
      <c r="A407" t="s">
        <v>439</v>
      </c>
      <c r="B407" s="4">
        <v>46347</v>
      </c>
      <c r="C407" t="s">
        <v>15</v>
      </c>
      <c r="D407" t="s">
        <v>49</v>
      </c>
      <c r="E407" t="s">
        <v>24</v>
      </c>
      <c r="F407">
        <v>1</v>
      </c>
      <c r="G407">
        <v>8000</v>
      </c>
      <c r="H407">
        <v>8000</v>
      </c>
      <c r="I407">
        <v>5840</v>
      </c>
      <c r="J407">
        <v>2160</v>
      </c>
      <c r="K407" t="str">
        <f>TEXT(B407,"mmm")</f>
        <v>Nov</v>
      </c>
    </row>
    <row r="408" spans="1:11" x14ac:dyDescent="0.25">
      <c r="A408" t="s">
        <v>518</v>
      </c>
      <c r="B408" s="4">
        <v>46426</v>
      </c>
      <c r="C408" t="s">
        <v>11</v>
      </c>
      <c r="D408" t="s">
        <v>49</v>
      </c>
      <c r="E408" t="s">
        <v>24</v>
      </c>
      <c r="F408">
        <v>1</v>
      </c>
      <c r="G408">
        <v>8000</v>
      </c>
      <c r="H408">
        <v>8000</v>
      </c>
      <c r="I408">
        <v>6400</v>
      </c>
      <c r="J408">
        <v>1600</v>
      </c>
      <c r="K408" t="str">
        <f>TEXT(B408,"mmm")</f>
        <v>Feb</v>
      </c>
    </row>
    <row r="409" spans="1:11" x14ac:dyDescent="0.25">
      <c r="A409" t="s">
        <v>197</v>
      </c>
      <c r="B409" s="4">
        <v>46105</v>
      </c>
      <c r="C409" t="s">
        <v>19</v>
      </c>
      <c r="D409" t="s">
        <v>34</v>
      </c>
      <c r="E409" t="s">
        <v>13</v>
      </c>
      <c r="F409">
        <v>2</v>
      </c>
      <c r="G409">
        <v>3000</v>
      </c>
      <c r="H409">
        <v>6000</v>
      </c>
      <c r="I409">
        <v>4200</v>
      </c>
      <c r="J409">
        <v>1800</v>
      </c>
      <c r="K409" t="str">
        <f>TEXT(B409,"mmm")</f>
        <v>Mar</v>
      </c>
    </row>
    <row r="410" spans="1:11" x14ac:dyDescent="0.25">
      <c r="A410" t="s">
        <v>232</v>
      </c>
      <c r="B410" s="4">
        <v>46140</v>
      </c>
      <c r="C410" t="s">
        <v>27</v>
      </c>
      <c r="D410" t="s">
        <v>34</v>
      </c>
      <c r="E410" t="s">
        <v>13</v>
      </c>
      <c r="F410">
        <v>2</v>
      </c>
      <c r="G410">
        <v>3000</v>
      </c>
      <c r="H410">
        <v>6000</v>
      </c>
      <c r="I410">
        <v>4020</v>
      </c>
      <c r="J410">
        <v>1980</v>
      </c>
      <c r="K410" t="str">
        <f>TEXT(B410,"mmm")</f>
        <v>Apr</v>
      </c>
    </row>
    <row r="411" spans="1:11" x14ac:dyDescent="0.25">
      <c r="A411" t="s">
        <v>342</v>
      </c>
      <c r="B411" s="4">
        <v>46250</v>
      </c>
      <c r="C411" t="s">
        <v>11</v>
      </c>
      <c r="D411" t="s">
        <v>34</v>
      </c>
      <c r="E411" t="s">
        <v>13</v>
      </c>
      <c r="F411">
        <v>2</v>
      </c>
      <c r="G411">
        <v>3000</v>
      </c>
      <c r="H411">
        <v>6000</v>
      </c>
      <c r="I411">
        <v>4200</v>
      </c>
      <c r="J411">
        <v>1800</v>
      </c>
      <c r="K411" t="str">
        <f>TEXT(B411,"mmm")</f>
        <v>Aug</v>
      </c>
    </row>
    <row r="412" spans="1:11" x14ac:dyDescent="0.25">
      <c r="A412" t="s">
        <v>388</v>
      </c>
      <c r="B412" s="4">
        <v>46296</v>
      </c>
      <c r="C412" t="s">
        <v>11</v>
      </c>
      <c r="D412" t="s">
        <v>34</v>
      </c>
      <c r="E412" t="s">
        <v>13</v>
      </c>
      <c r="F412">
        <v>2</v>
      </c>
      <c r="G412">
        <v>3000</v>
      </c>
      <c r="H412">
        <v>6000</v>
      </c>
      <c r="I412">
        <v>3900</v>
      </c>
      <c r="J412">
        <v>2100</v>
      </c>
      <c r="K412" t="str">
        <f>TEXT(B412,"mmm")</f>
        <v>Oct</v>
      </c>
    </row>
    <row r="413" spans="1:11" x14ac:dyDescent="0.25">
      <c r="A413" t="s">
        <v>399</v>
      </c>
      <c r="B413" s="4">
        <v>46307</v>
      </c>
      <c r="C413" t="s">
        <v>15</v>
      </c>
      <c r="D413" t="s">
        <v>34</v>
      </c>
      <c r="E413" t="s">
        <v>13</v>
      </c>
      <c r="F413">
        <v>2</v>
      </c>
      <c r="G413">
        <v>3000</v>
      </c>
      <c r="H413">
        <v>6000</v>
      </c>
      <c r="I413">
        <v>4680</v>
      </c>
      <c r="J413">
        <v>1320</v>
      </c>
      <c r="K413" t="str">
        <f>TEXT(B413,"mmm")</f>
        <v>Oct</v>
      </c>
    </row>
    <row r="414" spans="1:11" x14ac:dyDescent="0.25">
      <c r="A414" t="s">
        <v>40</v>
      </c>
      <c r="B414" s="4">
        <v>45949</v>
      </c>
      <c r="C414" t="s">
        <v>11</v>
      </c>
      <c r="D414" t="s">
        <v>20</v>
      </c>
      <c r="E414" t="s">
        <v>21</v>
      </c>
      <c r="F414">
        <v>1</v>
      </c>
      <c r="G414">
        <v>5000</v>
      </c>
      <c r="H414">
        <v>5000</v>
      </c>
      <c r="I414">
        <v>3450</v>
      </c>
      <c r="J414">
        <v>1550</v>
      </c>
      <c r="K414" t="str">
        <f>TEXT(B414,"mmm")</f>
        <v>Oct</v>
      </c>
    </row>
    <row r="415" spans="1:11" x14ac:dyDescent="0.25">
      <c r="A415" t="s">
        <v>95</v>
      </c>
      <c r="B415" s="4">
        <v>46003</v>
      </c>
      <c r="C415" t="s">
        <v>11</v>
      </c>
      <c r="D415" t="s">
        <v>20</v>
      </c>
      <c r="E415" t="s">
        <v>21</v>
      </c>
      <c r="F415">
        <v>1</v>
      </c>
      <c r="G415">
        <v>5000</v>
      </c>
      <c r="H415">
        <v>5000</v>
      </c>
      <c r="I415">
        <v>3400</v>
      </c>
      <c r="J415">
        <v>1600</v>
      </c>
      <c r="K415" t="str">
        <f>TEXT(B415,"mmm")</f>
        <v>Dec</v>
      </c>
    </row>
    <row r="416" spans="1:11" x14ac:dyDescent="0.25">
      <c r="A416" t="s">
        <v>99</v>
      </c>
      <c r="B416" s="4">
        <v>46007</v>
      </c>
      <c r="C416" t="s">
        <v>19</v>
      </c>
      <c r="D416" t="s">
        <v>20</v>
      </c>
      <c r="E416" t="s">
        <v>21</v>
      </c>
      <c r="F416">
        <v>1</v>
      </c>
      <c r="G416">
        <v>5000</v>
      </c>
      <c r="H416">
        <v>5000</v>
      </c>
      <c r="I416">
        <v>3700</v>
      </c>
      <c r="J416">
        <v>1300</v>
      </c>
      <c r="K416" t="str">
        <f>TEXT(B416,"mmm")</f>
        <v>Dec</v>
      </c>
    </row>
    <row r="417" spans="1:11" x14ac:dyDescent="0.25">
      <c r="A417" t="s">
        <v>126</v>
      </c>
      <c r="B417" s="4">
        <v>46034</v>
      </c>
      <c r="C417" t="s">
        <v>11</v>
      </c>
      <c r="D417" t="s">
        <v>20</v>
      </c>
      <c r="E417" t="s">
        <v>21</v>
      </c>
      <c r="F417">
        <v>1</v>
      </c>
      <c r="G417">
        <v>5000</v>
      </c>
      <c r="H417">
        <v>5000</v>
      </c>
      <c r="I417">
        <v>3350</v>
      </c>
      <c r="J417">
        <v>1650</v>
      </c>
      <c r="K417" t="str">
        <f>TEXT(B417,"mmm")</f>
        <v>Jan</v>
      </c>
    </row>
    <row r="418" spans="1:11" x14ac:dyDescent="0.25">
      <c r="A418" t="s">
        <v>133</v>
      </c>
      <c r="B418" s="4">
        <v>46041</v>
      </c>
      <c r="C418" t="s">
        <v>27</v>
      </c>
      <c r="D418" t="s">
        <v>20</v>
      </c>
      <c r="E418" t="s">
        <v>21</v>
      </c>
      <c r="F418">
        <v>1</v>
      </c>
      <c r="G418">
        <v>5000</v>
      </c>
      <c r="H418">
        <v>5000</v>
      </c>
      <c r="I418">
        <v>4000</v>
      </c>
      <c r="J418">
        <v>1000</v>
      </c>
      <c r="K418" t="str">
        <f>TEXT(B418,"mmm")</f>
        <v>Jan</v>
      </c>
    </row>
    <row r="419" spans="1:11" x14ac:dyDescent="0.25">
      <c r="A419" t="s">
        <v>138</v>
      </c>
      <c r="B419" s="4">
        <v>46046</v>
      </c>
      <c r="C419" t="s">
        <v>27</v>
      </c>
      <c r="D419" t="s">
        <v>23</v>
      </c>
      <c r="E419" t="s">
        <v>24</v>
      </c>
      <c r="F419">
        <v>10</v>
      </c>
      <c r="G419">
        <v>500</v>
      </c>
      <c r="H419">
        <v>5000</v>
      </c>
      <c r="I419">
        <v>3350</v>
      </c>
      <c r="J419">
        <v>1650</v>
      </c>
      <c r="K419" t="str">
        <f>TEXT(B419,"mmm")</f>
        <v>Jan</v>
      </c>
    </row>
    <row r="420" spans="1:11" x14ac:dyDescent="0.25">
      <c r="A420" t="s">
        <v>165</v>
      </c>
      <c r="B420" s="4">
        <v>46073</v>
      </c>
      <c r="C420" t="s">
        <v>19</v>
      </c>
      <c r="D420" t="s">
        <v>23</v>
      </c>
      <c r="E420" t="s">
        <v>24</v>
      </c>
      <c r="F420">
        <v>10</v>
      </c>
      <c r="G420">
        <v>500</v>
      </c>
      <c r="H420">
        <v>5000</v>
      </c>
      <c r="I420">
        <v>3700</v>
      </c>
      <c r="J420">
        <v>1300</v>
      </c>
      <c r="K420" t="str">
        <f>TEXT(B420,"mmm")</f>
        <v>Feb</v>
      </c>
    </row>
    <row r="421" spans="1:11" x14ac:dyDescent="0.25">
      <c r="A421" t="s">
        <v>198</v>
      </c>
      <c r="B421" s="4">
        <v>46106</v>
      </c>
      <c r="C421" t="s">
        <v>27</v>
      </c>
      <c r="D421" t="s">
        <v>23</v>
      </c>
      <c r="E421" t="s">
        <v>24</v>
      </c>
      <c r="F421">
        <v>10</v>
      </c>
      <c r="G421">
        <v>500</v>
      </c>
      <c r="H421">
        <v>5000</v>
      </c>
      <c r="I421">
        <v>3900</v>
      </c>
      <c r="J421">
        <v>1100</v>
      </c>
      <c r="K421" t="str">
        <f>TEXT(B421,"mmm")</f>
        <v>Mar</v>
      </c>
    </row>
    <row r="422" spans="1:11" x14ac:dyDescent="0.25">
      <c r="A422" t="s">
        <v>223</v>
      </c>
      <c r="B422" s="4">
        <v>46131</v>
      </c>
      <c r="C422" t="s">
        <v>27</v>
      </c>
      <c r="D422" t="s">
        <v>20</v>
      </c>
      <c r="E422" t="s">
        <v>21</v>
      </c>
      <c r="F422">
        <v>1</v>
      </c>
      <c r="G422">
        <v>5000</v>
      </c>
      <c r="H422">
        <v>5000</v>
      </c>
      <c r="I422">
        <v>4250</v>
      </c>
      <c r="J422">
        <v>750</v>
      </c>
      <c r="K422" t="str">
        <f>TEXT(B422,"mmm")</f>
        <v>Apr</v>
      </c>
    </row>
    <row r="423" spans="1:11" x14ac:dyDescent="0.25">
      <c r="A423" t="s">
        <v>288</v>
      </c>
      <c r="B423" s="4">
        <v>46196</v>
      </c>
      <c r="C423" t="s">
        <v>19</v>
      </c>
      <c r="D423" t="s">
        <v>20</v>
      </c>
      <c r="E423" t="s">
        <v>21</v>
      </c>
      <c r="F423">
        <v>1</v>
      </c>
      <c r="G423">
        <v>5000</v>
      </c>
      <c r="H423">
        <v>5000</v>
      </c>
      <c r="I423">
        <v>3450</v>
      </c>
      <c r="J423">
        <v>1550</v>
      </c>
      <c r="K423" t="str">
        <f>TEXT(B423,"mmm")</f>
        <v>Jun</v>
      </c>
    </row>
    <row r="424" spans="1:11" x14ac:dyDescent="0.25">
      <c r="A424" t="s">
        <v>324</v>
      </c>
      <c r="B424" s="4">
        <v>46232</v>
      </c>
      <c r="C424" t="s">
        <v>27</v>
      </c>
      <c r="D424" t="s">
        <v>23</v>
      </c>
      <c r="E424" t="s">
        <v>24</v>
      </c>
      <c r="F424">
        <v>10</v>
      </c>
      <c r="G424">
        <v>500</v>
      </c>
      <c r="H424">
        <v>5000</v>
      </c>
      <c r="I424">
        <v>3600</v>
      </c>
      <c r="J424">
        <v>1400</v>
      </c>
      <c r="K424" t="str">
        <f>TEXT(B424,"mmm")</f>
        <v>Jul</v>
      </c>
    </row>
    <row r="425" spans="1:11" x14ac:dyDescent="0.25">
      <c r="A425" t="s">
        <v>344</v>
      </c>
      <c r="B425" s="4">
        <v>46252</v>
      </c>
      <c r="C425" t="s">
        <v>11</v>
      </c>
      <c r="D425" t="s">
        <v>23</v>
      </c>
      <c r="E425" t="s">
        <v>24</v>
      </c>
      <c r="F425">
        <v>10</v>
      </c>
      <c r="G425">
        <v>500</v>
      </c>
      <c r="H425">
        <v>5000</v>
      </c>
      <c r="I425">
        <v>3550</v>
      </c>
      <c r="J425">
        <v>1450</v>
      </c>
      <c r="K425" t="str">
        <f>TEXT(B425,"mmm")</f>
        <v>Aug</v>
      </c>
    </row>
    <row r="426" spans="1:11" x14ac:dyDescent="0.25">
      <c r="A426" t="s">
        <v>354</v>
      </c>
      <c r="B426" s="4">
        <v>46262</v>
      </c>
      <c r="C426" t="s">
        <v>15</v>
      </c>
      <c r="D426" t="s">
        <v>20</v>
      </c>
      <c r="E426" t="s">
        <v>21</v>
      </c>
      <c r="F426">
        <v>1</v>
      </c>
      <c r="G426">
        <v>5000</v>
      </c>
      <c r="H426">
        <v>5000</v>
      </c>
      <c r="I426">
        <v>4000</v>
      </c>
      <c r="J426">
        <v>1000</v>
      </c>
      <c r="K426" t="str">
        <f>TEXT(B426,"mmm")</f>
        <v>Aug</v>
      </c>
    </row>
    <row r="427" spans="1:11" x14ac:dyDescent="0.25">
      <c r="A427" t="s">
        <v>396</v>
      </c>
      <c r="B427" s="4">
        <v>46304</v>
      </c>
      <c r="C427" t="s">
        <v>19</v>
      </c>
      <c r="D427" t="s">
        <v>20</v>
      </c>
      <c r="E427" t="s">
        <v>21</v>
      </c>
      <c r="F427">
        <v>1</v>
      </c>
      <c r="G427">
        <v>5000</v>
      </c>
      <c r="H427">
        <v>5000</v>
      </c>
      <c r="I427">
        <v>3450</v>
      </c>
      <c r="J427">
        <v>1550</v>
      </c>
      <c r="K427" t="str">
        <f>TEXT(B427,"mmm")</f>
        <v>Oct</v>
      </c>
    </row>
    <row r="428" spans="1:11" x14ac:dyDescent="0.25">
      <c r="A428" t="s">
        <v>422</v>
      </c>
      <c r="B428" s="4">
        <v>46330</v>
      </c>
      <c r="C428" t="s">
        <v>11</v>
      </c>
      <c r="D428" t="s">
        <v>20</v>
      </c>
      <c r="E428" t="s">
        <v>21</v>
      </c>
      <c r="F428">
        <v>1</v>
      </c>
      <c r="G428">
        <v>5000</v>
      </c>
      <c r="H428">
        <v>5000</v>
      </c>
      <c r="I428">
        <v>4100</v>
      </c>
      <c r="J428">
        <v>900</v>
      </c>
      <c r="K428" t="str">
        <f>TEXT(B428,"mmm")</f>
        <v>Nov</v>
      </c>
    </row>
    <row r="429" spans="1:11" x14ac:dyDescent="0.25">
      <c r="A429" t="s">
        <v>456</v>
      </c>
      <c r="B429" s="4">
        <v>46364</v>
      </c>
      <c r="C429" t="s">
        <v>11</v>
      </c>
      <c r="D429" t="s">
        <v>20</v>
      </c>
      <c r="E429" t="s">
        <v>21</v>
      </c>
      <c r="F429">
        <v>1</v>
      </c>
      <c r="G429">
        <v>5000</v>
      </c>
      <c r="H429">
        <v>5000</v>
      </c>
      <c r="I429">
        <v>3900</v>
      </c>
      <c r="J429">
        <v>1100</v>
      </c>
      <c r="K429" t="str">
        <f>TEXT(B429,"mmm")</f>
        <v>Dec</v>
      </c>
    </row>
    <row r="430" spans="1:11" x14ac:dyDescent="0.25">
      <c r="A430" t="s">
        <v>70</v>
      </c>
      <c r="B430" s="4">
        <v>45978</v>
      </c>
      <c r="C430" t="s">
        <v>11</v>
      </c>
      <c r="D430" t="s">
        <v>23</v>
      </c>
      <c r="E430" t="s">
        <v>24</v>
      </c>
      <c r="F430">
        <v>9</v>
      </c>
      <c r="G430">
        <v>500</v>
      </c>
      <c r="H430">
        <v>4500</v>
      </c>
      <c r="I430">
        <v>3060</v>
      </c>
      <c r="J430">
        <v>1440</v>
      </c>
      <c r="K430" t="str">
        <f>TEXT(B430,"mmm")</f>
        <v>Nov</v>
      </c>
    </row>
    <row r="431" spans="1:11" x14ac:dyDescent="0.25">
      <c r="A431" t="s">
        <v>166</v>
      </c>
      <c r="B431" s="4">
        <v>46074</v>
      </c>
      <c r="C431" t="s">
        <v>11</v>
      </c>
      <c r="D431" t="s">
        <v>23</v>
      </c>
      <c r="E431" t="s">
        <v>24</v>
      </c>
      <c r="F431">
        <v>9</v>
      </c>
      <c r="G431">
        <v>500</v>
      </c>
      <c r="H431">
        <v>4500</v>
      </c>
      <c r="I431">
        <v>2925</v>
      </c>
      <c r="J431">
        <v>1575</v>
      </c>
      <c r="K431" t="str">
        <f>TEXT(B431,"mmm")</f>
        <v>Feb</v>
      </c>
    </row>
    <row r="432" spans="1:11" x14ac:dyDescent="0.25">
      <c r="A432" t="s">
        <v>176</v>
      </c>
      <c r="B432" s="4">
        <v>46084</v>
      </c>
      <c r="C432" t="s">
        <v>15</v>
      </c>
      <c r="D432" t="s">
        <v>23</v>
      </c>
      <c r="E432" t="s">
        <v>24</v>
      </c>
      <c r="F432">
        <v>9</v>
      </c>
      <c r="G432">
        <v>500</v>
      </c>
      <c r="H432">
        <v>4500</v>
      </c>
      <c r="I432">
        <v>3510</v>
      </c>
      <c r="J432">
        <v>990</v>
      </c>
      <c r="K432" t="str">
        <f>TEXT(B432,"mmm")</f>
        <v>Mar</v>
      </c>
    </row>
    <row r="433" spans="1:11" x14ac:dyDescent="0.25">
      <c r="A433" t="s">
        <v>249</v>
      </c>
      <c r="B433" s="4">
        <v>46157</v>
      </c>
      <c r="C433" t="s">
        <v>27</v>
      </c>
      <c r="D433" t="s">
        <v>23</v>
      </c>
      <c r="E433" t="s">
        <v>24</v>
      </c>
      <c r="F433">
        <v>9</v>
      </c>
      <c r="G433">
        <v>500</v>
      </c>
      <c r="H433">
        <v>4500</v>
      </c>
      <c r="I433">
        <v>3735</v>
      </c>
      <c r="J433">
        <v>765</v>
      </c>
      <c r="K433" t="str">
        <f>TEXT(B433,"mmm")</f>
        <v>May</v>
      </c>
    </row>
    <row r="434" spans="1:11" x14ac:dyDescent="0.25">
      <c r="A434" t="s">
        <v>265</v>
      </c>
      <c r="B434" s="4">
        <v>46173</v>
      </c>
      <c r="C434" t="s">
        <v>11</v>
      </c>
      <c r="D434" t="s">
        <v>23</v>
      </c>
      <c r="E434" t="s">
        <v>24</v>
      </c>
      <c r="F434">
        <v>9</v>
      </c>
      <c r="G434">
        <v>500</v>
      </c>
      <c r="H434">
        <v>4500</v>
      </c>
      <c r="I434">
        <v>3240</v>
      </c>
      <c r="J434">
        <v>1260</v>
      </c>
      <c r="K434" t="str">
        <f>TEXT(B434,"mmm")</f>
        <v>May</v>
      </c>
    </row>
    <row r="435" spans="1:11" x14ac:dyDescent="0.25">
      <c r="A435" t="s">
        <v>373</v>
      </c>
      <c r="B435" s="4">
        <v>46281</v>
      </c>
      <c r="C435" t="s">
        <v>15</v>
      </c>
      <c r="D435" t="s">
        <v>23</v>
      </c>
      <c r="E435" t="s">
        <v>24</v>
      </c>
      <c r="F435">
        <v>9</v>
      </c>
      <c r="G435">
        <v>500</v>
      </c>
      <c r="H435">
        <v>4500</v>
      </c>
      <c r="I435">
        <v>3375</v>
      </c>
      <c r="J435">
        <v>1125</v>
      </c>
      <c r="K435" t="str">
        <f>TEXT(B435,"mmm")</f>
        <v>Sep</v>
      </c>
    </row>
    <row r="436" spans="1:11" x14ac:dyDescent="0.25">
      <c r="A436" t="s">
        <v>393</v>
      </c>
      <c r="B436" s="4">
        <v>46301</v>
      </c>
      <c r="C436" t="s">
        <v>11</v>
      </c>
      <c r="D436" t="s">
        <v>23</v>
      </c>
      <c r="E436" t="s">
        <v>24</v>
      </c>
      <c r="F436">
        <v>9</v>
      </c>
      <c r="G436">
        <v>500</v>
      </c>
      <c r="H436">
        <v>4500</v>
      </c>
      <c r="I436">
        <v>3420</v>
      </c>
      <c r="J436">
        <v>1080</v>
      </c>
      <c r="K436" t="str">
        <f>TEXT(B436,"mmm")</f>
        <v>Oct</v>
      </c>
    </row>
    <row r="437" spans="1:11" x14ac:dyDescent="0.25">
      <c r="A437" t="s">
        <v>394</v>
      </c>
      <c r="B437" s="4">
        <v>46302</v>
      </c>
      <c r="C437" t="s">
        <v>19</v>
      </c>
      <c r="D437" t="s">
        <v>23</v>
      </c>
      <c r="E437" t="s">
        <v>24</v>
      </c>
      <c r="F437">
        <v>9</v>
      </c>
      <c r="G437">
        <v>500</v>
      </c>
      <c r="H437">
        <v>4500</v>
      </c>
      <c r="I437">
        <v>3330</v>
      </c>
      <c r="J437">
        <v>1170</v>
      </c>
      <c r="K437" t="str">
        <f>TEXT(B437,"mmm")</f>
        <v>Oct</v>
      </c>
    </row>
    <row r="438" spans="1:11" x14ac:dyDescent="0.25">
      <c r="A438" t="s">
        <v>451</v>
      </c>
      <c r="B438" s="4">
        <v>46359</v>
      </c>
      <c r="C438" t="s">
        <v>27</v>
      </c>
      <c r="D438" t="s">
        <v>23</v>
      </c>
      <c r="E438" t="s">
        <v>24</v>
      </c>
      <c r="F438">
        <v>9</v>
      </c>
      <c r="G438">
        <v>500</v>
      </c>
      <c r="H438">
        <v>4500</v>
      </c>
      <c r="I438">
        <v>3060</v>
      </c>
      <c r="J438">
        <v>1440</v>
      </c>
      <c r="K438" t="str">
        <f>TEXT(B438,"mmm")</f>
        <v>Dec</v>
      </c>
    </row>
    <row r="439" spans="1:11" x14ac:dyDescent="0.25">
      <c r="A439" t="s">
        <v>459</v>
      </c>
      <c r="B439" s="4">
        <v>46367</v>
      </c>
      <c r="C439" t="s">
        <v>11</v>
      </c>
      <c r="D439" t="s">
        <v>23</v>
      </c>
      <c r="E439" t="s">
        <v>24</v>
      </c>
      <c r="F439">
        <v>9</v>
      </c>
      <c r="G439">
        <v>500</v>
      </c>
      <c r="H439">
        <v>4500</v>
      </c>
      <c r="I439">
        <v>3240</v>
      </c>
      <c r="J439">
        <v>1260</v>
      </c>
      <c r="K439" t="str">
        <f>TEXT(B439,"mmm")</f>
        <v>Dec</v>
      </c>
    </row>
    <row r="440" spans="1:11" x14ac:dyDescent="0.25">
      <c r="A440" t="s">
        <v>502</v>
      </c>
      <c r="B440" s="4">
        <v>46410</v>
      </c>
      <c r="C440" t="s">
        <v>15</v>
      </c>
      <c r="D440" t="s">
        <v>23</v>
      </c>
      <c r="E440" t="s">
        <v>24</v>
      </c>
      <c r="F440">
        <v>9</v>
      </c>
      <c r="G440">
        <v>500</v>
      </c>
      <c r="H440">
        <v>4500</v>
      </c>
      <c r="I440">
        <v>3555</v>
      </c>
      <c r="J440">
        <v>945</v>
      </c>
      <c r="K440" t="str">
        <f>TEXT(B440,"mmm")</f>
        <v>Jan</v>
      </c>
    </row>
    <row r="441" spans="1:11" x14ac:dyDescent="0.25">
      <c r="A441" t="s">
        <v>66</v>
      </c>
      <c r="B441" s="4">
        <v>45974</v>
      </c>
      <c r="C441" t="s">
        <v>15</v>
      </c>
      <c r="D441" t="s">
        <v>23</v>
      </c>
      <c r="E441" t="s">
        <v>24</v>
      </c>
      <c r="F441">
        <v>8</v>
      </c>
      <c r="G441">
        <v>500</v>
      </c>
      <c r="H441">
        <v>4000</v>
      </c>
      <c r="I441">
        <v>2640</v>
      </c>
      <c r="J441">
        <v>1360</v>
      </c>
      <c r="K441" t="str">
        <f>TEXT(B441,"mmm")</f>
        <v>Nov</v>
      </c>
    </row>
    <row r="442" spans="1:11" x14ac:dyDescent="0.25">
      <c r="A442" t="s">
        <v>159</v>
      </c>
      <c r="B442" s="4">
        <v>46067</v>
      </c>
      <c r="C442" t="s">
        <v>15</v>
      </c>
      <c r="D442" t="s">
        <v>23</v>
      </c>
      <c r="E442" t="s">
        <v>24</v>
      </c>
      <c r="F442">
        <v>8</v>
      </c>
      <c r="G442">
        <v>500</v>
      </c>
      <c r="H442">
        <v>4000</v>
      </c>
      <c r="I442">
        <v>3240</v>
      </c>
      <c r="J442">
        <v>760</v>
      </c>
      <c r="K442" t="str">
        <f>TEXT(B442,"mmm")</f>
        <v>Feb</v>
      </c>
    </row>
    <row r="443" spans="1:11" x14ac:dyDescent="0.25">
      <c r="A443" t="s">
        <v>185</v>
      </c>
      <c r="B443" s="4">
        <v>46093</v>
      </c>
      <c r="C443" t="s">
        <v>27</v>
      </c>
      <c r="D443" t="s">
        <v>23</v>
      </c>
      <c r="E443" t="s">
        <v>24</v>
      </c>
      <c r="F443">
        <v>8</v>
      </c>
      <c r="G443">
        <v>500</v>
      </c>
      <c r="H443">
        <v>4000</v>
      </c>
      <c r="I443">
        <v>2720</v>
      </c>
      <c r="J443">
        <v>1280</v>
      </c>
      <c r="K443" t="str">
        <f>TEXT(B443,"mmm")</f>
        <v>Mar</v>
      </c>
    </row>
    <row r="444" spans="1:11" x14ac:dyDescent="0.25">
      <c r="A444" t="s">
        <v>330</v>
      </c>
      <c r="B444" s="4">
        <v>46238</v>
      </c>
      <c r="C444" t="s">
        <v>27</v>
      </c>
      <c r="D444" t="s">
        <v>23</v>
      </c>
      <c r="E444" t="s">
        <v>24</v>
      </c>
      <c r="F444">
        <v>8</v>
      </c>
      <c r="G444">
        <v>500</v>
      </c>
      <c r="H444">
        <v>4000</v>
      </c>
      <c r="I444">
        <v>2960</v>
      </c>
      <c r="J444">
        <v>1040</v>
      </c>
      <c r="K444" t="str">
        <f>TEXT(B444,"mmm")</f>
        <v>Aug</v>
      </c>
    </row>
    <row r="445" spans="1:11" x14ac:dyDescent="0.25">
      <c r="A445" t="s">
        <v>348</v>
      </c>
      <c r="B445" s="4">
        <v>46256</v>
      </c>
      <c r="C445" t="s">
        <v>15</v>
      </c>
      <c r="D445" t="s">
        <v>23</v>
      </c>
      <c r="E445" t="s">
        <v>24</v>
      </c>
      <c r="F445">
        <v>8</v>
      </c>
      <c r="G445">
        <v>500</v>
      </c>
      <c r="H445">
        <v>4000</v>
      </c>
      <c r="I445">
        <v>2720</v>
      </c>
      <c r="J445">
        <v>1280</v>
      </c>
      <c r="K445" t="str">
        <f>TEXT(B445,"mmm")</f>
        <v>Aug</v>
      </c>
    </row>
    <row r="446" spans="1:11" x14ac:dyDescent="0.25">
      <c r="A446" t="s">
        <v>370</v>
      </c>
      <c r="B446" s="4">
        <v>46278</v>
      </c>
      <c r="C446" t="s">
        <v>27</v>
      </c>
      <c r="D446" t="s">
        <v>23</v>
      </c>
      <c r="E446" t="s">
        <v>24</v>
      </c>
      <c r="F446">
        <v>8</v>
      </c>
      <c r="G446">
        <v>500</v>
      </c>
      <c r="H446">
        <v>4000</v>
      </c>
      <c r="I446">
        <v>2800</v>
      </c>
      <c r="J446">
        <v>1200</v>
      </c>
      <c r="K446" t="str">
        <f>TEXT(B446,"mmm")</f>
        <v>Sep</v>
      </c>
    </row>
    <row r="447" spans="1:11" x14ac:dyDescent="0.25">
      <c r="A447" t="s">
        <v>384</v>
      </c>
      <c r="B447" s="4">
        <v>46292</v>
      </c>
      <c r="C447" t="s">
        <v>27</v>
      </c>
      <c r="D447" t="s">
        <v>23</v>
      </c>
      <c r="E447" t="s">
        <v>24</v>
      </c>
      <c r="F447">
        <v>8</v>
      </c>
      <c r="G447">
        <v>500</v>
      </c>
      <c r="H447">
        <v>4000</v>
      </c>
      <c r="I447">
        <v>3080</v>
      </c>
      <c r="J447">
        <v>920</v>
      </c>
      <c r="K447" t="str">
        <f>TEXT(B447,"mmm")</f>
        <v>Sep</v>
      </c>
    </row>
    <row r="448" spans="1:11" x14ac:dyDescent="0.25">
      <c r="A448" t="s">
        <v>450</v>
      </c>
      <c r="B448" s="4">
        <v>46358</v>
      </c>
      <c r="C448" t="s">
        <v>27</v>
      </c>
      <c r="D448" t="s">
        <v>23</v>
      </c>
      <c r="E448" t="s">
        <v>24</v>
      </c>
      <c r="F448">
        <v>8</v>
      </c>
      <c r="G448">
        <v>500</v>
      </c>
      <c r="H448">
        <v>4000</v>
      </c>
      <c r="I448">
        <v>2640</v>
      </c>
      <c r="J448">
        <v>1360</v>
      </c>
      <c r="K448" t="str">
        <f>TEXT(B448,"mmm")</f>
        <v>Dec</v>
      </c>
    </row>
    <row r="449" spans="1:11" x14ac:dyDescent="0.25">
      <c r="A449" t="s">
        <v>465</v>
      </c>
      <c r="B449" s="4">
        <v>46373</v>
      </c>
      <c r="C449" t="s">
        <v>27</v>
      </c>
      <c r="D449" t="s">
        <v>23</v>
      </c>
      <c r="E449" t="s">
        <v>24</v>
      </c>
      <c r="F449">
        <v>8</v>
      </c>
      <c r="G449">
        <v>500</v>
      </c>
      <c r="H449">
        <v>4000</v>
      </c>
      <c r="I449">
        <v>3080</v>
      </c>
      <c r="J449">
        <v>920</v>
      </c>
      <c r="K449" t="str">
        <f>TEXT(B449,"mmm")</f>
        <v>Dec</v>
      </c>
    </row>
    <row r="450" spans="1:11" x14ac:dyDescent="0.25">
      <c r="A450" t="s">
        <v>523</v>
      </c>
      <c r="B450" s="4">
        <v>46431</v>
      </c>
      <c r="C450" t="s">
        <v>27</v>
      </c>
      <c r="D450" t="s">
        <v>23</v>
      </c>
      <c r="E450" t="s">
        <v>24</v>
      </c>
      <c r="F450">
        <v>8</v>
      </c>
      <c r="G450">
        <v>500</v>
      </c>
      <c r="H450">
        <v>4000</v>
      </c>
      <c r="I450">
        <v>2800</v>
      </c>
      <c r="J450">
        <v>1200</v>
      </c>
      <c r="K450" t="str">
        <f>TEXT(B450,"mmm")</f>
        <v>Feb</v>
      </c>
    </row>
    <row r="451" spans="1:11" x14ac:dyDescent="0.25">
      <c r="A451" t="s">
        <v>112</v>
      </c>
      <c r="B451" s="4">
        <v>46020</v>
      </c>
      <c r="C451" t="s">
        <v>19</v>
      </c>
      <c r="D451" t="s">
        <v>23</v>
      </c>
      <c r="E451" t="s">
        <v>24</v>
      </c>
      <c r="F451">
        <v>7</v>
      </c>
      <c r="G451">
        <v>500</v>
      </c>
      <c r="H451">
        <v>3500</v>
      </c>
      <c r="I451">
        <v>2415</v>
      </c>
      <c r="J451">
        <v>1085</v>
      </c>
      <c r="K451" t="str">
        <f>TEXT(B451,"mmm")</f>
        <v>Dec</v>
      </c>
    </row>
    <row r="452" spans="1:11" x14ac:dyDescent="0.25">
      <c r="A452" t="s">
        <v>125</v>
      </c>
      <c r="B452" s="4">
        <v>46033</v>
      </c>
      <c r="C452" t="s">
        <v>19</v>
      </c>
      <c r="D452" t="s">
        <v>23</v>
      </c>
      <c r="E452" t="s">
        <v>24</v>
      </c>
      <c r="F452">
        <v>7</v>
      </c>
      <c r="G452">
        <v>500</v>
      </c>
      <c r="H452">
        <v>3500</v>
      </c>
      <c r="I452">
        <v>2415</v>
      </c>
      <c r="J452">
        <v>1085</v>
      </c>
      <c r="K452" t="str">
        <f>TEXT(B452,"mmm")</f>
        <v>Jan</v>
      </c>
    </row>
    <row r="453" spans="1:11" x14ac:dyDescent="0.25">
      <c r="A453" t="s">
        <v>155</v>
      </c>
      <c r="B453" s="4">
        <v>46063</v>
      </c>
      <c r="C453" t="s">
        <v>15</v>
      </c>
      <c r="D453" t="s">
        <v>23</v>
      </c>
      <c r="E453" t="s">
        <v>24</v>
      </c>
      <c r="F453">
        <v>7</v>
      </c>
      <c r="G453">
        <v>500</v>
      </c>
      <c r="H453">
        <v>3500</v>
      </c>
      <c r="I453">
        <v>2625</v>
      </c>
      <c r="J453">
        <v>875</v>
      </c>
      <c r="K453" t="str">
        <f>TEXT(B453,"mmm")</f>
        <v>Feb</v>
      </c>
    </row>
    <row r="454" spans="1:11" x14ac:dyDescent="0.25">
      <c r="A454" t="s">
        <v>182</v>
      </c>
      <c r="B454" s="4">
        <v>46090</v>
      </c>
      <c r="C454" t="s">
        <v>15</v>
      </c>
      <c r="D454" t="s">
        <v>23</v>
      </c>
      <c r="E454" t="s">
        <v>24</v>
      </c>
      <c r="F454">
        <v>7</v>
      </c>
      <c r="G454">
        <v>500</v>
      </c>
      <c r="H454">
        <v>3500</v>
      </c>
      <c r="I454">
        <v>2975</v>
      </c>
      <c r="J454">
        <v>525</v>
      </c>
      <c r="K454" t="str">
        <f>TEXT(B454,"mmm")</f>
        <v>Mar</v>
      </c>
    </row>
    <row r="455" spans="1:11" x14ac:dyDescent="0.25">
      <c r="A455" t="s">
        <v>191</v>
      </c>
      <c r="B455" s="4">
        <v>46099</v>
      </c>
      <c r="C455" t="s">
        <v>27</v>
      </c>
      <c r="D455" t="s">
        <v>23</v>
      </c>
      <c r="E455" t="s">
        <v>24</v>
      </c>
      <c r="F455">
        <v>7</v>
      </c>
      <c r="G455">
        <v>500</v>
      </c>
      <c r="H455">
        <v>3500</v>
      </c>
      <c r="I455">
        <v>2345</v>
      </c>
      <c r="J455">
        <v>1155</v>
      </c>
      <c r="K455" t="str">
        <f>TEXT(B455,"mmm")</f>
        <v>Mar</v>
      </c>
    </row>
    <row r="456" spans="1:11" x14ac:dyDescent="0.25">
      <c r="A456" t="s">
        <v>237</v>
      </c>
      <c r="B456" s="4">
        <v>46145</v>
      </c>
      <c r="C456" t="s">
        <v>27</v>
      </c>
      <c r="D456" t="s">
        <v>23</v>
      </c>
      <c r="E456" t="s">
        <v>24</v>
      </c>
      <c r="F456">
        <v>7</v>
      </c>
      <c r="G456">
        <v>500</v>
      </c>
      <c r="H456">
        <v>3500</v>
      </c>
      <c r="I456">
        <v>2590</v>
      </c>
      <c r="J456">
        <v>910</v>
      </c>
      <c r="K456" t="str">
        <f>TEXT(B456,"mmm")</f>
        <v>May</v>
      </c>
    </row>
    <row r="457" spans="1:11" x14ac:dyDescent="0.25">
      <c r="A457" t="s">
        <v>444</v>
      </c>
      <c r="B457" s="4">
        <v>46352</v>
      </c>
      <c r="C457" t="s">
        <v>19</v>
      </c>
      <c r="D457" t="s">
        <v>23</v>
      </c>
      <c r="E457" t="s">
        <v>24</v>
      </c>
      <c r="F457">
        <v>7</v>
      </c>
      <c r="G457">
        <v>500</v>
      </c>
      <c r="H457">
        <v>3500</v>
      </c>
      <c r="I457">
        <v>2625</v>
      </c>
      <c r="J457">
        <v>875</v>
      </c>
      <c r="K457" t="str">
        <f>TEXT(B457,"mmm")</f>
        <v>Nov</v>
      </c>
    </row>
    <row r="458" spans="1:11" x14ac:dyDescent="0.25">
      <c r="A458" t="s">
        <v>25</v>
      </c>
      <c r="B458" s="4">
        <v>45938</v>
      </c>
      <c r="C458" t="s">
        <v>15</v>
      </c>
      <c r="D458" t="s">
        <v>23</v>
      </c>
      <c r="E458" t="s">
        <v>24</v>
      </c>
      <c r="F458">
        <v>6</v>
      </c>
      <c r="G458">
        <v>500</v>
      </c>
      <c r="H458">
        <v>3000</v>
      </c>
      <c r="I458">
        <v>2460</v>
      </c>
      <c r="J458">
        <v>540</v>
      </c>
      <c r="K458" t="str">
        <f>TEXT(B458,"mmm")</f>
        <v>Oct</v>
      </c>
    </row>
    <row r="459" spans="1:11" x14ac:dyDescent="0.25">
      <c r="A459" t="s">
        <v>50</v>
      </c>
      <c r="B459" s="4">
        <v>45958</v>
      </c>
      <c r="C459" t="s">
        <v>11</v>
      </c>
      <c r="D459" t="s">
        <v>34</v>
      </c>
      <c r="E459" t="s">
        <v>13</v>
      </c>
      <c r="F459">
        <v>1</v>
      </c>
      <c r="G459">
        <v>3000</v>
      </c>
      <c r="H459">
        <v>3000</v>
      </c>
      <c r="I459">
        <v>2340</v>
      </c>
      <c r="J459">
        <v>660</v>
      </c>
      <c r="K459" t="str">
        <f>TEXT(B459,"mmm")</f>
        <v>Oct</v>
      </c>
    </row>
    <row r="460" spans="1:11" x14ac:dyDescent="0.25">
      <c r="A460" t="s">
        <v>83</v>
      </c>
      <c r="B460" s="4">
        <v>45991</v>
      </c>
      <c r="C460" t="s">
        <v>15</v>
      </c>
      <c r="D460" t="s">
        <v>23</v>
      </c>
      <c r="E460" t="s">
        <v>24</v>
      </c>
      <c r="F460">
        <v>6</v>
      </c>
      <c r="G460">
        <v>500</v>
      </c>
      <c r="H460">
        <v>3000</v>
      </c>
      <c r="I460">
        <v>2550</v>
      </c>
      <c r="J460">
        <v>450</v>
      </c>
      <c r="K460" t="str">
        <f>TEXT(B460,"mmm")</f>
        <v>Nov</v>
      </c>
    </row>
    <row r="461" spans="1:11" x14ac:dyDescent="0.25">
      <c r="A461" t="s">
        <v>178</v>
      </c>
      <c r="B461" s="4">
        <v>46086</v>
      </c>
      <c r="C461" t="s">
        <v>19</v>
      </c>
      <c r="D461" t="s">
        <v>23</v>
      </c>
      <c r="E461" t="s">
        <v>24</v>
      </c>
      <c r="F461">
        <v>6</v>
      </c>
      <c r="G461">
        <v>500</v>
      </c>
      <c r="H461">
        <v>3000</v>
      </c>
      <c r="I461">
        <v>2490</v>
      </c>
      <c r="J461">
        <v>510</v>
      </c>
      <c r="K461" t="str">
        <f>TEXT(B461,"mmm")</f>
        <v>Mar</v>
      </c>
    </row>
    <row r="462" spans="1:11" x14ac:dyDescent="0.25">
      <c r="A462" t="s">
        <v>235</v>
      </c>
      <c r="B462" s="4">
        <v>46143</v>
      </c>
      <c r="C462" t="s">
        <v>19</v>
      </c>
      <c r="D462" t="s">
        <v>23</v>
      </c>
      <c r="E462" t="s">
        <v>24</v>
      </c>
      <c r="F462">
        <v>6</v>
      </c>
      <c r="G462">
        <v>500</v>
      </c>
      <c r="H462">
        <v>3000</v>
      </c>
      <c r="I462">
        <v>1950</v>
      </c>
      <c r="J462">
        <v>1050</v>
      </c>
      <c r="K462" t="str">
        <f>TEXT(B462,"mmm")</f>
        <v>May</v>
      </c>
    </row>
    <row r="463" spans="1:11" x14ac:dyDescent="0.25">
      <c r="A463" t="s">
        <v>313</v>
      </c>
      <c r="B463" s="4">
        <v>46221</v>
      </c>
      <c r="C463" t="s">
        <v>19</v>
      </c>
      <c r="D463" t="s">
        <v>34</v>
      </c>
      <c r="E463" t="s">
        <v>13</v>
      </c>
      <c r="F463">
        <v>1</v>
      </c>
      <c r="G463">
        <v>3000</v>
      </c>
      <c r="H463">
        <v>3000</v>
      </c>
      <c r="I463">
        <v>1980</v>
      </c>
      <c r="J463">
        <v>1020</v>
      </c>
      <c r="K463" t="str">
        <f>TEXT(B463,"mmm")</f>
        <v>Jul</v>
      </c>
    </row>
    <row r="464" spans="1:11" x14ac:dyDescent="0.25">
      <c r="A464" t="s">
        <v>321</v>
      </c>
      <c r="B464" s="4">
        <v>46229</v>
      </c>
      <c r="C464" t="s">
        <v>15</v>
      </c>
      <c r="D464" t="s">
        <v>23</v>
      </c>
      <c r="E464" t="s">
        <v>24</v>
      </c>
      <c r="F464">
        <v>6</v>
      </c>
      <c r="G464">
        <v>500</v>
      </c>
      <c r="H464">
        <v>3000</v>
      </c>
      <c r="I464">
        <v>2550</v>
      </c>
      <c r="J464">
        <v>450</v>
      </c>
      <c r="K464" t="str">
        <f>TEXT(B464,"mmm")</f>
        <v>Jul</v>
      </c>
    </row>
    <row r="465" spans="1:11" x14ac:dyDescent="0.25">
      <c r="A465" t="s">
        <v>397</v>
      </c>
      <c r="B465" s="4">
        <v>46305</v>
      </c>
      <c r="C465" t="s">
        <v>15</v>
      </c>
      <c r="D465" t="s">
        <v>34</v>
      </c>
      <c r="E465" t="s">
        <v>13</v>
      </c>
      <c r="F465">
        <v>1</v>
      </c>
      <c r="G465">
        <v>3000</v>
      </c>
      <c r="H465">
        <v>3000</v>
      </c>
      <c r="I465">
        <v>2430</v>
      </c>
      <c r="J465">
        <v>570</v>
      </c>
      <c r="K465" t="str">
        <f>TEXT(B465,"mmm")</f>
        <v>Oct</v>
      </c>
    </row>
    <row r="466" spans="1:11" x14ac:dyDescent="0.25">
      <c r="A466" t="s">
        <v>409</v>
      </c>
      <c r="B466" s="4">
        <v>46317</v>
      </c>
      <c r="C466" t="s">
        <v>19</v>
      </c>
      <c r="D466" t="s">
        <v>23</v>
      </c>
      <c r="E466" t="s">
        <v>24</v>
      </c>
      <c r="F466">
        <v>6</v>
      </c>
      <c r="G466">
        <v>500</v>
      </c>
      <c r="H466">
        <v>3000</v>
      </c>
      <c r="I466">
        <v>2010</v>
      </c>
      <c r="J466">
        <v>990</v>
      </c>
      <c r="K466" t="str">
        <f>TEXT(B466,"mmm")</f>
        <v>Oct</v>
      </c>
    </row>
    <row r="467" spans="1:11" x14ac:dyDescent="0.25">
      <c r="A467" t="s">
        <v>475</v>
      </c>
      <c r="B467" s="4">
        <v>46383</v>
      </c>
      <c r="C467" t="s">
        <v>19</v>
      </c>
      <c r="D467" t="s">
        <v>23</v>
      </c>
      <c r="E467" t="s">
        <v>24</v>
      </c>
      <c r="F467">
        <v>6</v>
      </c>
      <c r="G467">
        <v>500</v>
      </c>
      <c r="H467">
        <v>3000</v>
      </c>
      <c r="I467">
        <v>1980</v>
      </c>
      <c r="J467">
        <v>1020</v>
      </c>
      <c r="K467" t="str">
        <f>TEXT(B467,"mmm")</f>
        <v>Dec</v>
      </c>
    </row>
    <row r="468" spans="1:11" x14ac:dyDescent="0.25">
      <c r="A468" t="s">
        <v>489</v>
      </c>
      <c r="B468" s="4">
        <v>46397</v>
      </c>
      <c r="C468" t="s">
        <v>11</v>
      </c>
      <c r="D468" t="s">
        <v>23</v>
      </c>
      <c r="E468" t="s">
        <v>24</v>
      </c>
      <c r="F468">
        <v>6</v>
      </c>
      <c r="G468">
        <v>500</v>
      </c>
      <c r="H468">
        <v>3000</v>
      </c>
      <c r="I468">
        <v>2310</v>
      </c>
      <c r="J468">
        <v>690</v>
      </c>
      <c r="K468" t="str">
        <f>TEXT(B468,"mmm")</f>
        <v>Jan</v>
      </c>
    </row>
    <row r="469" spans="1:11" x14ac:dyDescent="0.25">
      <c r="A469" t="s">
        <v>22</v>
      </c>
      <c r="B469" s="4">
        <v>45937</v>
      </c>
      <c r="C469" t="s">
        <v>19</v>
      </c>
      <c r="D469" t="s">
        <v>23</v>
      </c>
      <c r="E469" t="s">
        <v>24</v>
      </c>
      <c r="F469">
        <v>5</v>
      </c>
      <c r="G469">
        <v>500</v>
      </c>
      <c r="H469">
        <v>2500</v>
      </c>
      <c r="I469">
        <v>1775</v>
      </c>
      <c r="J469">
        <v>725</v>
      </c>
      <c r="K469" t="str">
        <f>TEXT(B469,"mmm")</f>
        <v>Oct</v>
      </c>
    </row>
    <row r="470" spans="1:11" x14ac:dyDescent="0.25">
      <c r="A470" t="s">
        <v>105</v>
      </c>
      <c r="B470" s="4">
        <v>46013</v>
      </c>
      <c r="C470" t="s">
        <v>15</v>
      </c>
      <c r="D470" t="s">
        <v>23</v>
      </c>
      <c r="E470" t="s">
        <v>24</v>
      </c>
      <c r="F470">
        <v>5</v>
      </c>
      <c r="G470">
        <v>500</v>
      </c>
      <c r="H470">
        <v>2500</v>
      </c>
      <c r="I470">
        <v>1900</v>
      </c>
      <c r="J470">
        <v>600</v>
      </c>
      <c r="K470" t="str">
        <f>TEXT(B470,"mmm")</f>
        <v>Dec</v>
      </c>
    </row>
    <row r="471" spans="1:11" x14ac:dyDescent="0.25">
      <c r="A471" t="s">
        <v>109</v>
      </c>
      <c r="B471" s="4">
        <v>46017</v>
      </c>
      <c r="C471" t="s">
        <v>19</v>
      </c>
      <c r="D471" t="s">
        <v>23</v>
      </c>
      <c r="E471" t="s">
        <v>24</v>
      </c>
      <c r="F471">
        <v>5</v>
      </c>
      <c r="G471">
        <v>500</v>
      </c>
      <c r="H471">
        <v>2500</v>
      </c>
      <c r="I471">
        <v>1725</v>
      </c>
      <c r="J471">
        <v>775</v>
      </c>
      <c r="K471" t="str">
        <f>TEXT(B471,"mmm")</f>
        <v>Dec</v>
      </c>
    </row>
    <row r="472" spans="1:11" x14ac:dyDescent="0.25">
      <c r="A472" t="s">
        <v>174</v>
      </c>
      <c r="B472" s="4">
        <v>46082</v>
      </c>
      <c r="C472" t="s">
        <v>27</v>
      </c>
      <c r="D472" t="s">
        <v>23</v>
      </c>
      <c r="E472" t="s">
        <v>24</v>
      </c>
      <c r="F472">
        <v>5</v>
      </c>
      <c r="G472">
        <v>500</v>
      </c>
      <c r="H472">
        <v>2500</v>
      </c>
      <c r="I472">
        <v>1925</v>
      </c>
      <c r="J472">
        <v>575</v>
      </c>
      <c r="K472" t="str">
        <f>TEXT(B472,"mmm")</f>
        <v>Mar</v>
      </c>
    </row>
    <row r="473" spans="1:11" x14ac:dyDescent="0.25">
      <c r="A473" t="s">
        <v>216</v>
      </c>
      <c r="B473" s="4">
        <v>46124</v>
      </c>
      <c r="C473" t="s">
        <v>27</v>
      </c>
      <c r="D473" t="s">
        <v>23</v>
      </c>
      <c r="E473" t="s">
        <v>24</v>
      </c>
      <c r="F473">
        <v>5</v>
      </c>
      <c r="G473">
        <v>500</v>
      </c>
      <c r="H473">
        <v>2500</v>
      </c>
      <c r="I473">
        <v>2000</v>
      </c>
      <c r="J473">
        <v>500</v>
      </c>
      <c r="K473" t="str">
        <f>TEXT(B473,"mmm")</f>
        <v>Apr</v>
      </c>
    </row>
    <row r="474" spans="1:11" x14ac:dyDescent="0.25">
      <c r="A474" t="s">
        <v>236</v>
      </c>
      <c r="B474" s="4">
        <v>46144</v>
      </c>
      <c r="C474" t="s">
        <v>11</v>
      </c>
      <c r="D474" t="s">
        <v>23</v>
      </c>
      <c r="E474" t="s">
        <v>24</v>
      </c>
      <c r="F474">
        <v>5</v>
      </c>
      <c r="G474">
        <v>500</v>
      </c>
      <c r="H474">
        <v>2500</v>
      </c>
      <c r="I474">
        <v>1750</v>
      </c>
      <c r="J474">
        <v>750</v>
      </c>
      <c r="K474" t="str">
        <f>TEXT(B474,"mmm")</f>
        <v>May</v>
      </c>
    </row>
    <row r="475" spans="1:11" x14ac:dyDescent="0.25">
      <c r="A475" t="s">
        <v>406</v>
      </c>
      <c r="B475" s="4">
        <v>46314</v>
      </c>
      <c r="C475" t="s">
        <v>11</v>
      </c>
      <c r="D475" t="s">
        <v>23</v>
      </c>
      <c r="E475" t="s">
        <v>24</v>
      </c>
      <c r="F475">
        <v>5</v>
      </c>
      <c r="G475">
        <v>500</v>
      </c>
      <c r="H475">
        <v>2500</v>
      </c>
      <c r="I475">
        <v>1950</v>
      </c>
      <c r="J475">
        <v>550</v>
      </c>
      <c r="K475" t="str">
        <f>TEXT(B475,"mmm")</f>
        <v>Oct</v>
      </c>
    </row>
    <row r="476" spans="1:11" x14ac:dyDescent="0.25">
      <c r="A476" t="s">
        <v>447</v>
      </c>
      <c r="B476" s="4">
        <v>46355</v>
      </c>
      <c r="C476" t="s">
        <v>15</v>
      </c>
      <c r="D476" t="s">
        <v>23</v>
      </c>
      <c r="E476" t="s">
        <v>24</v>
      </c>
      <c r="F476">
        <v>5</v>
      </c>
      <c r="G476">
        <v>500</v>
      </c>
      <c r="H476">
        <v>2500</v>
      </c>
      <c r="I476">
        <v>1725</v>
      </c>
      <c r="J476">
        <v>775</v>
      </c>
      <c r="K476" t="str">
        <f>TEXT(B476,"mmm")</f>
        <v>Nov</v>
      </c>
    </row>
    <row r="477" spans="1:11" x14ac:dyDescent="0.25">
      <c r="A477" t="s">
        <v>499</v>
      </c>
      <c r="B477" s="4">
        <v>46407</v>
      </c>
      <c r="C477" t="s">
        <v>19</v>
      </c>
      <c r="D477" t="s">
        <v>23</v>
      </c>
      <c r="E477" t="s">
        <v>24</v>
      </c>
      <c r="F477">
        <v>5</v>
      </c>
      <c r="G477">
        <v>500</v>
      </c>
      <c r="H477">
        <v>2500</v>
      </c>
      <c r="I477">
        <v>1800</v>
      </c>
      <c r="J477">
        <v>700</v>
      </c>
      <c r="K477" t="str">
        <f>TEXT(B477,"mmm")</f>
        <v>Jan</v>
      </c>
    </row>
    <row r="478" spans="1:11" x14ac:dyDescent="0.25">
      <c r="A478" t="s">
        <v>517</v>
      </c>
      <c r="B478" s="4">
        <v>46425</v>
      </c>
      <c r="C478" t="s">
        <v>27</v>
      </c>
      <c r="D478" t="s">
        <v>23</v>
      </c>
      <c r="E478" t="s">
        <v>24</v>
      </c>
      <c r="F478">
        <v>5</v>
      </c>
      <c r="G478">
        <v>500</v>
      </c>
      <c r="H478">
        <v>2500</v>
      </c>
      <c r="I478">
        <v>2050</v>
      </c>
      <c r="J478">
        <v>450</v>
      </c>
      <c r="K478" t="str">
        <f>TEXT(B478,"mmm")</f>
        <v>Feb</v>
      </c>
    </row>
    <row r="479" spans="1:11" x14ac:dyDescent="0.25">
      <c r="A479" t="s">
        <v>250</v>
      </c>
      <c r="B479" s="4">
        <v>46158</v>
      </c>
      <c r="C479" t="s">
        <v>15</v>
      </c>
      <c r="D479" t="s">
        <v>23</v>
      </c>
      <c r="E479" t="s">
        <v>24</v>
      </c>
      <c r="F479">
        <v>4</v>
      </c>
      <c r="G479">
        <v>500</v>
      </c>
      <c r="H479">
        <v>2000</v>
      </c>
      <c r="I479">
        <v>1640</v>
      </c>
      <c r="J479">
        <v>360</v>
      </c>
      <c r="K479" t="str">
        <f>TEXT(B479,"mmm")</f>
        <v>May</v>
      </c>
    </row>
    <row r="480" spans="1:11" x14ac:dyDescent="0.25">
      <c r="A480" t="s">
        <v>309</v>
      </c>
      <c r="B480" s="4">
        <v>46217</v>
      </c>
      <c r="C480" t="s">
        <v>27</v>
      </c>
      <c r="D480" t="s">
        <v>23</v>
      </c>
      <c r="E480" t="s">
        <v>24</v>
      </c>
      <c r="F480">
        <v>4</v>
      </c>
      <c r="G480">
        <v>500</v>
      </c>
      <c r="H480">
        <v>2000</v>
      </c>
      <c r="I480">
        <v>1700</v>
      </c>
      <c r="J480">
        <v>300</v>
      </c>
      <c r="K480" t="str">
        <f>TEXT(B480,"mmm")</f>
        <v>Jul</v>
      </c>
    </row>
    <row r="481" spans="1:11" x14ac:dyDescent="0.25">
      <c r="A481" t="s">
        <v>391</v>
      </c>
      <c r="B481" s="4">
        <v>46299</v>
      </c>
      <c r="C481" t="s">
        <v>19</v>
      </c>
      <c r="D481" t="s">
        <v>23</v>
      </c>
      <c r="E481" t="s">
        <v>24</v>
      </c>
      <c r="F481">
        <v>4</v>
      </c>
      <c r="G481">
        <v>500</v>
      </c>
      <c r="H481">
        <v>2000</v>
      </c>
      <c r="I481">
        <v>1480</v>
      </c>
      <c r="J481">
        <v>520</v>
      </c>
      <c r="K481" t="str">
        <f>TEXT(B481,"mmm")</f>
        <v>Oct</v>
      </c>
    </row>
    <row r="482" spans="1:11" x14ac:dyDescent="0.25">
      <c r="A482" t="s">
        <v>410</v>
      </c>
      <c r="B482" s="4">
        <v>46318</v>
      </c>
      <c r="C482" t="s">
        <v>27</v>
      </c>
      <c r="D482" t="s">
        <v>23</v>
      </c>
      <c r="E482" t="s">
        <v>24</v>
      </c>
      <c r="F482">
        <v>4</v>
      </c>
      <c r="G482">
        <v>500</v>
      </c>
      <c r="H482">
        <v>2000</v>
      </c>
      <c r="I482">
        <v>1640</v>
      </c>
      <c r="J482">
        <v>360</v>
      </c>
      <c r="K482" t="str">
        <f>TEXT(B482,"mmm")</f>
        <v>Oct</v>
      </c>
    </row>
    <row r="483" spans="1:11" x14ac:dyDescent="0.25">
      <c r="A483" t="s">
        <v>41</v>
      </c>
      <c r="B483" s="4">
        <v>45950</v>
      </c>
      <c r="C483" t="s">
        <v>15</v>
      </c>
      <c r="D483" t="s">
        <v>23</v>
      </c>
      <c r="E483" t="s">
        <v>24</v>
      </c>
      <c r="F483">
        <v>3</v>
      </c>
      <c r="G483">
        <v>500</v>
      </c>
      <c r="H483">
        <v>1500</v>
      </c>
      <c r="I483">
        <v>1245</v>
      </c>
      <c r="J483">
        <v>255</v>
      </c>
      <c r="K483" t="str">
        <f>TEXT(B483,"mmm")</f>
        <v>Oct</v>
      </c>
    </row>
    <row r="484" spans="1:11" x14ac:dyDescent="0.25">
      <c r="A484" t="s">
        <v>60</v>
      </c>
      <c r="B484" s="4">
        <v>45968</v>
      </c>
      <c r="C484" t="s">
        <v>11</v>
      </c>
      <c r="D484" t="s">
        <v>23</v>
      </c>
      <c r="E484" t="s">
        <v>24</v>
      </c>
      <c r="F484">
        <v>3</v>
      </c>
      <c r="G484">
        <v>500</v>
      </c>
      <c r="H484">
        <v>1500</v>
      </c>
      <c r="I484">
        <v>1110</v>
      </c>
      <c r="J484">
        <v>390</v>
      </c>
      <c r="K484" t="str">
        <f>TEXT(B484,"mmm")</f>
        <v>Nov</v>
      </c>
    </row>
    <row r="485" spans="1:11" x14ac:dyDescent="0.25">
      <c r="A485" t="s">
        <v>204</v>
      </c>
      <c r="B485" s="4">
        <v>46112</v>
      </c>
      <c r="C485" t="s">
        <v>15</v>
      </c>
      <c r="D485" t="s">
        <v>23</v>
      </c>
      <c r="E485" t="s">
        <v>24</v>
      </c>
      <c r="F485">
        <v>3</v>
      </c>
      <c r="G485">
        <v>500</v>
      </c>
      <c r="H485">
        <v>1500</v>
      </c>
      <c r="I485">
        <v>1140</v>
      </c>
      <c r="J485">
        <v>360</v>
      </c>
      <c r="K485" t="str">
        <f>TEXT(B485,"mmm")</f>
        <v>Mar</v>
      </c>
    </row>
    <row r="486" spans="1:11" x14ac:dyDescent="0.25">
      <c r="A486" t="s">
        <v>298</v>
      </c>
      <c r="B486" s="4">
        <v>46206</v>
      </c>
      <c r="C486" t="s">
        <v>27</v>
      </c>
      <c r="D486" t="s">
        <v>23</v>
      </c>
      <c r="E486" t="s">
        <v>24</v>
      </c>
      <c r="F486">
        <v>3</v>
      </c>
      <c r="G486">
        <v>500</v>
      </c>
      <c r="H486">
        <v>1500</v>
      </c>
      <c r="I486">
        <v>1095</v>
      </c>
      <c r="J486">
        <v>405</v>
      </c>
      <c r="K486" t="str">
        <f>TEXT(B486,"mmm")</f>
        <v>Jul</v>
      </c>
    </row>
    <row r="487" spans="1:11" x14ac:dyDescent="0.25">
      <c r="A487" t="s">
        <v>361</v>
      </c>
      <c r="B487" s="4">
        <v>46269</v>
      </c>
      <c r="C487" t="s">
        <v>19</v>
      </c>
      <c r="D487" t="s">
        <v>23</v>
      </c>
      <c r="E487" t="s">
        <v>24</v>
      </c>
      <c r="F487">
        <v>3</v>
      </c>
      <c r="G487">
        <v>500</v>
      </c>
      <c r="H487">
        <v>1500</v>
      </c>
      <c r="I487">
        <v>990</v>
      </c>
      <c r="J487">
        <v>510</v>
      </c>
      <c r="K487" t="str">
        <f>TEXT(B487,"mmm")</f>
        <v>Sep</v>
      </c>
    </row>
    <row r="488" spans="1:11" x14ac:dyDescent="0.25">
      <c r="A488" t="s">
        <v>419</v>
      </c>
      <c r="B488" s="4">
        <v>46327</v>
      </c>
      <c r="C488" t="s">
        <v>11</v>
      </c>
      <c r="D488" t="s">
        <v>23</v>
      </c>
      <c r="E488" t="s">
        <v>24</v>
      </c>
      <c r="F488">
        <v>3</v>
      </c>
      <c r="G488">
        <v>500</v>
      </c>
      <c r="H488">
        <v>1500</v>
      </c>
      <c r="I488">
        <v>975</v>
      </c>
      <c r="J488">
        <v>525</v>
      </c>
      <c r="K488" t="str">
        <f>TEXT(B488,"mmm")</f>
        <v>Nov</v>
      </c>
    </row>
    <row r="489" spans="1:11" x14ac:dyDescent="0.25">
      <c r="A489" t="s">
        <v>498</v>
      </c>
      <c r="B489" s="4">
        <v>46406</v>
      </c>
      <c r="C489" t="s">
        <v>19</v>
      </c>
      <c r="D489" t="s">
        <v>23</v>
      </c>
      <c r="E489" t="s">
        <v>24</v>
      </c>
      <c r="F489">
        <v>3</v>
      </c>
      <c r="G489">
        <v>500</v>
      </c>
      <c r="H489">
        <v>1500</v>
      </c>
      <c r="I489">
        <v>1020</v>
      </c>
      <c r="J489">
        <v>480</v>
      </c>
      <c r="K489" t="str">
        <f>TEXT(B489,"mmm")</f>
        <v>Jan</v>
      </c>
    </row>
    <row r="490" spans="1:11" x14ac:dyDescent="0.25">
      <c r="A490" t="s">
        <v>32</v>
      </c>
      <c r="B490" s="4">
        <v>45943</v>
      </c>
      <c r="C490" t="s">
        <v>27</v>
      </c>
      <c r="D490" t="s">
        <v>23</v>
      </c>
      <c r="E490" t="s">
        <v>24</v>
      </c>
      <c r="F490">
        <v>2</v>
      </c>
      <c r="G490">
        <v>500</v>
      </c>
      <c r="H490">
        <v>1000</v>
      </c>
      <c r="I490">
        <v>770</v>
      </c>
      <c r="J490">
        <v>230</v>
      </c>
      <c r="K490" t="str">
        <f>TEXT(B490,"mmm")</f>
        <v>Oct</v>
      </c>
    </row>
    <row r="491" spans="1:11" x14ac:dyDescent="0.25">
      <c r="A491" t="s">
        <v>188</v>
      </c>
      <c r="B491" s="4">
        <v>46096</v>
      </c>
      <c r="C491" t="s">
        <v>11</v>
      </c>
      <c r="D491" t="s">
        <v>23</v>
      </c>
      <c r="E491" t="s">
        <v>24</v>
      </c>
      <c r="F491">
        <v>2</v>
      </c>
      <c r="G491">
        <v>500</v>
      </c>
      <c r="H491">
        <v>1000</v>
      </c>
      <c r="I491">
        <v>790</v>
      </c>
      <c r="J491">
        <v>210</v>
      </c>
      <c r="K491" t="str">
        <f>TEXT(B491,"mmm")</f>
        <v>Mar</v>
      </c>
    </row>
    <row r="492" spans="1:11" x14ac:dyDescent="0.25">
      <c r="A492" t="s">
        <v>189</v>
      </c>
      <c r="B492" s="4">
        <v>46097</v>
      </c>
      <c r="C492" t="s">
        <v>19</v>
      </c>
      <c r="D492" t="s">
        <v>23</v>
      </c>
      <c r="E492" t="s">
        <v>24</v>
      </c>
      <c r="F492">
        <v>2</v>
      </c>
      <c r="G492">
        <v>500</v>
      </c>
      <c r="H492">
        <v>1000</v>
      </c>
      <c r="I492">
        <v>820</v>
      </c>
      <c r="J492">
        <v>180</v>
      </c>
      <c r="K492" t="str">
        <f>TEXT(B492,"mmm")</f>
        <v>Mar</v>
      </c>
    </row>
    <row r="493" spans="1:11" x14ac:dyDescent="0.25">
      <c r="A493" t="s">
        <v>245</v>
      </c>
      <c r="B493" s="4">
        <v>46153</v>
      </c>
      <c r="C493" t="s">
        <v>27</v>
      </c>
      <c r="D493" t="s">
        <v>23</v>
      </c>
      <c r="E493" t="s">
        <v>24</v>
      </c>
      <c r="F493">
        <v>2</v>
      </c>
      <c r="G493">
        <v>500</v>
      </c>
      <c r="H493">
        <v>1000</v>
      </c>
      <c r="I493">
        <v>760</v>
      </c>
      <c r="J493">
        <v>240</v>
      </c>
      <c r="K493" t="str">
        <f>TEXT(B493,"mmm")</f>
        <v>May</v>
      </c>
    </row>
    <row r="494" spans="1:11" x14ac:dyDescent="0.25">
      <c r="A494" t="s">
        <v>270</v>
      </c>
      <c r="B494" s="4">
        <v>46178</v>
      </c>
      <c r="C494" t="s">
        <v>19</v>
      </c>
      <c r="D494" t="s">
        <v>23</v>
      </c>
      <c r="E494" t="s">
        <v>24</v>
      </c>
      <c r="F494">
        <v>2</v>
      </c>
      <c r="G494">
        <v>500</v>
      </c>
      <c r="H494">
        <v>1000</v>
      </c>
      <c r="I494">
        <v>670</v>
      </c>
      <c r="J494">
        <v>330</v>
      </c>
      <c r="K494" t="str">
        <f>TEXT(B494,"mmm")</f>
        <v>Jun</v>
      </c>
    </row>
    <row r="495" spans="1:11" x14ac:dyDescent="0.25">
      <c r="A495" t="s">
        <v>417</v>
      </c>
      <c r="B495" s="4">
        <v>46325</v>
      </c>
      <c r="C495" t="s">
        <v>19</v>
      </c>
      <c r="D495" t="s">
        <v>23</v>
      </c>
      <c r="E495" t="s">
        <v>24</v>
      </c>
      <c r="F495">
        <v>2</v>
      </c>
      <c r="G495">
        <v>500</v>
      </c>
      <c r="H495">
        <v>1000</v>
      </c>
      <c r="I495">
        <v>700</v>
      </c>
      <c r="J495">
        <v>300</v>
      </c>
      <c r="K495" t="str">
        <f>TEXT(B495,"mmm")</f>
        <v>Oct</v>
      </c>
    </row>
    <row r="496" spans="1:11" x14ac:dyDescent="0.25">
      <c r="A496" t="s">
        <v>519</v>
      </c>
      <c r="B496" s="4">
        <v>46427</v>
      </c>
      <c r="C496" t="s">
        <v>19</v>
      </c>
      <c r="D496" t="s">
        <v>23</v>
      </c>
      <c r="E496" t="s">
        <v>24</v>
      </c>
      <c r="F496">
        <v>2</v>
      </c>
      <c r="G496">
        <v>500</v>
      </c>
      <c r="H496">
        <v>1000</v>
      </c>
      <c r="I496">
        <v>710</v>
      </c>
      <c r="J496">
        <v>290</v>
      </c>
      <c r="K496" t="str">
        <f>TEXT(B496,"mmm")</f>
        <v>Feb</v>
      </c>
    </row>
    <row r="497" spans="1:11" x14ac:dyDescent="0.25">
      <c r="A497" t="s">
        <v>71</v>
      </c>
      <c r="B497" s="4">
        <v>45979</v>
      </c>
      <c r="C497" t="s">
        <v>11</v>
      </c>
      <c r="D497" t="s">
        <v>23</v>
      </c>
      <c r="E497" t="s">
        <v>24</v>
      </c>
      <c r="F497">
        <v>1</v>
      </c>
      <c r="G497">
        <v>500</v>
      </c>
      <c r="H497">
        <v>500</v>
      </c>
      <c r="I497">
        <v>325</v>
      </c>
      <c r="J497">
        <v>175</v>
      </c>
      <c r="K497" t="str">
        <f>TEXT(B497,"mmm")</f>
        <v>Nov</v>
      </c>
    </row>
    <row r="498" spans="1:11" x14ac:dyDescent="0.25">
      <c r="A498" t="s">
        <v>106</v>
      </c>
      <c r="B498" s="4">
        <v>46014</v>
      </c>
      <c r="C498" t="s">
        <v>15</v>
      </c>
      <c r="D498" t="s">
        <v>23</v>
      </c>
      <c r="E498" t="s">
        <v>24</v>
      </c>
      <c r="F498">
        <v>1</v>
      </c>
      <c r="G498">
        <v>500</v>
      </c>
      <c r="H498">
        <v>500</v>
      </c>
      <c r="I498">
        <v>345</v>
      </c>
      <c r="J498">
        <v>155</v>
      </c>
      <c r="K498" t="str">
        <f>TEXT(B498,"mmm")</f>
        <v>Dec</v>
      </c>
    </row>
    <row r="499" spans="1:11" x14ac:dyDescent="0.25">
      <c r="A499" t="s">
        <v>284</v>
      </c>
      <c r="B499" s="4">
        <v>46192</v>
      </c>
      <c r="C499" t="s">
        <v>11</v>
      </c>
      <c r="D499" t="s">
        <v>23</v>
      </c>
      <c r="E499" t="s">
        <v>24</v>
      </c>
      <c r="F499">
        <v>1</v>
      </c>
      <c r="G499">
        <v>500</v>
      </c>
      <c r="H499">
        <v>500</v>
      </c>
      <c r="I499">
        <v>405</v>
      </c>
      <c r="J499">
        <v>95</v>
      </c>
      <c r="K499" t="str">
        <f>TEXT(B499,"mmm")</f>
        <v>Jun</v>
      </c>
    </row>
    <row r="500" spans="1:11" x14ac:dyDescent="0.25">
      <c r="A500" t="s">
        <v>355</v>
      </c>
      <c r="B500" s="4">
        <v>46263</v>
      </c>
      <c r="C500" t="s">
        <v>15</v>
      </c>
      <c r="D500" t="s">
        <v>23</v>
      </c>
      <c r="E500" t="s">
        <v>24</v>
      </c>
      <c r="F500">
        <v>1</v>
      </c>
      <c r="G500">
        <v>500</v>
      </c>
      <c r="H500">
        <v>500</v>
      </c>
      <c r="I500">
        <v>420</v>
      </c>
      <c r="J500">
        <v>80</v>
      </c>
      <c r="K500" t="str">
        <f>TEXT(B500,"mmm")</f>
        <v>Aug</v>
      </c>
    </row>
    <row r="501" spans="1:11" x14ac:dyDescent="0.25">
      <c r="A501" t="s">
        <v>426</v>
      </c>
      <c r="B501" s="4">
        <v>46334</v>
      </c>
      <c r="C501" t="s">
        <v>15</v>
      </c>
      <c r="D501" t="s">
        <v>23</v>
      </c>
      <c r="E501" t="s">
        <v>24</v>
      </c>
      <c r="F501">
        <v>1</v>
      </c>
      <c r="G501">
        <v>500</v>
      </c>
      <c r="H501">
        <v>500</v>
      </c>
      <c r="I501">
        <v>385</v>
      </c>
      <c r="J501">
        <v>115</v>
      </c>
      <c r="K501" t="str">
        <f>TEXT(B501,"mmm")</f>
        <v>Nov</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Busireddy Gari Greeshma</cp:lastModifiedBy>
  <dcterms:created xsi:type="dcterms:W3CDTF">2026-06-07T05:54:45Z</dcterms:created>
  <dcterms:modified xsi:type="dcterms:W3CDTF">2026-06-08T04:18:53Z</dcterms:modified>
</cp:coreProperties>
</file>